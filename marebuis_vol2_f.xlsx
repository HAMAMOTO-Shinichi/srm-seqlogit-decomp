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81a82ac62a8fe2/デスクトップ/研究Ongo/MareBuis/"/>
    </mc:Choice>
  </mc:AlternateContent>
  <xr:revisionPtr revIDLastSave="653" documentId="11_1147F767884006CC70C5DF64F5012D16E1073E97" xr6:coauthVersionLast="47" xr6:coauthVersionMax="47" xr10:uidLastSave="{2AF6D373-8F1C-46A6-9B42-AC8A774B55C9}"/>
  <bookViews>
    <workbookView xWindow="-120" yWindow="-120" windowWidth="29040" windowHeight="15720" activeTab="1" xr2:uid="{00000000-000D-0000-FFFF-FFFF00000000}"/>
  </bookViews>
  <sheets>
    <sheet name="table" sheetId="3" r:id="rId1"/>
    <sheet name="Sheet1" sheetId="1" r:id="rId2"/>
    <sheet name="Sheet2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 a="1"/>
  <c r="H5" i="3" s="1"/>
  <c r="L28" i="3"/>
  <c r="L27" i="3"/>
  <c r="L26" i="3"/>
  <c r="K5" i="3" a="1"/>
  <c r="K5" i="3" s="1"/>
  <c r="E5" i="3" a="1"/>
  <c r="E5" i="3" s="1"/>
  <c r="D5" i="3" a="1"/>
  <c r="D5" i="3" s="1"/>
  <c r="D47" i="3" a="1"/>
  <c r="D47" i="3" s="1"/>
  <c r="D26" i="3" a="1"/>
  <c r="D26" i="3" s="1"/>
  <c r="S5" i="3" a="1"/>
  <c r="S5" i="3" s="1"/>
  <c r="O5" i="3" a="1"/>
  <c r="O5" i="3" s="1"/>
  <c r="H1" i="1"/>
  <c r="E111" i="1"/>
  <c r="T32" i="2"/>
  <c r="J32" i="2"/>
  <c r="T28" i="2"/>
  <c r="S28" i="2"/>
  <c r="J28" i="2"/>
  <c r="I28" i="2"/>
  <c r="T27" i="2"/>
  <c r="S27" i="2"/>
  <c r="J27" i="2"/>
  <c r="I27" i="2"/>
  <c r="T26" i="2"/>
  <c r="S26" i="2"/>
  <c r="J26" i="2"/>
  <c r="I26" i="2"/>
  <c r="T25" i="2"/>
  <c r="S25" i="2"/>
  <c r="P75" i="2" s="1"/>
  <c r="J25" i="2"/>
  <c r="I25" i="2"/>
  <c r="P73" i="2" s="1"/>
  <c r="S24" i="2"/>
  <c r="I24" i="2"/>
  <c r="T21" i="2"/>
  <c r="S21" i="2"/>
  <c r="J21" i="2"/>
  <c r="I21" i="2"/>
  <c r="T20" i="2"/>
  <c r="S20" i="2"/>
  <c r="J20" i="2"/>
  <c r="I20" i="2"/>
  <c r="T19" i="2"/>
  <c r="S19" i="2"/>
  <c r="J19" i="2"/>
  <c r="I19" i="2"/>
  <c r="T18" i="2"/>
  <c r="S18" i="2"/>
  <c r="O71" i="2" s="1"/>
  <c r="J18" i="2"/>
  <c r="I18" i="2"/>
  <c r="O69" i="2" s="1"/>
  <c r="H18" i="2"/>
  <c r="L57" i="2" s="1"/>
  <c r="T17" i="2"/>
  <c r="S17" i="2"/>
  <c r="R17" i="2"/>
  <c r="J17" i="2"/>
  <c r="I17" i="2"/>
  <c r="H17" i="2"/>
  <c r="S16" i="2"/>
  <c r="R16" i="2"/>
  <c r="I16" i="2"/>
  <c r="H16" i="2"/>
  <c r="T13" i="2"/>
  <c r="S13" i="2"/>
  <c r="R13" i="2"/>
  <c r="J13" i="2"/>
  <c r="I13" i="2"/>
  <c r="H13" i="2"/>
  <c r="T12" i="2"/>
  <c r="S12" i="2"/>
  <c r="R12" i="2"/>
  <c r="J12" i="2"/>
  <c r="I12" i="2"/>
  <c r="H12" i="2"/>
  <c r="T11" i="2"/>
  <c r="S11" i="2"/>
  <c r="N67" i="2" s="1"/>
  <c r="R11" i="2"/>
  <c r="K55" i="2" s="1"/>
  <c r="J11" i="2"/>
  <c r="I11" i="2"/>
  <c r="N65" i="2" s="1"/>
  <c r="H11" i="2"/>
  <c r="K53" i="2" s="1"/>
  <c r="M10" i="2"/>
  <c r="O10" i="2"/>
  <c r="X10" i="2"/>
  <c r="Y10" i="2"/>
  <c r="AE111" i="1" a="1"/>
  <c r="AE111" i="1" s="1"/>
  <c r="X111" i="1" a="1"/>
  <c r="X111" i="1" s="1"/>
  <c r="Q111" i="1" a="1"/>
  <c r="Q111" i="1" s="1"/>
  <c r="J111" i="1" a="1"/>
  <c r="J111" i="1" s="1"/>
  <c r="E113" i="1"/>
  <c r="E112" i="1"/>
  <c r="E108" i="1"/>
  <c r="E106" i="1"/>
  <c r="E105" i="1"/>
  <c r="E104" i="1"/>
  <c r="E103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32" i="2"/>
  <c r="S32" i="2" s="1"/>
  <c r="A31" i="2"/>
  <c r="R31" i="2" s="1"/>
  <c r="A30" i="2"/>
  <c r="R30" i="2" s="1"/>
  <c r="A29" i="2"/>
  <c r="A28" i="2"/>
  <c r="R28" i="2" s="1"/>
  <c r="A27" i="2"/>
  <c r="R27" i="2" s="1"/>
  <c r="A26" i="2"/>
  <c r="R26" i="2" s="1"/>
  <c r="A25" i="2"/>
  <c r="R25" i="2" s="1"/>
  <c r="M63" i="2" s="1"/>
  <c r="A24" i="2"/>
  <c r="R24" i="2" s="1"/>
  <c r="A23" i="2"/>
  <c r="R23" i="2" s="1"/>
  <c r="A22" i="2"/>
  <c r="A21" i="2"/>
  <c r="R21" i="2" s="1"/>
  <c r="A20" i="2"/>
  <c r="R20" i="2" s="1"/>
  <c r="A19" i="2"/>
  <c r="R19" i="2" s="1"/>
  <c r="A18" i="2"/>
  <c r="R18" i="2" s="1"/>
  <c r="L59" i="2" s="1"/>
  <c r="A17" i="2"/>
  <c r="Q17" i="2" s="1"/>
  <c r="A16" i="2"/>
  <c r="Q16" i="2" s="1"/>
  <c r="A15" i="2"/>
  <c r="A14" i="2"/>
  <c r="R14" i="2" s="1"/>
  <c r="A13" i="2"/>
  <c r="Q13" i="2" s="1"/>
  <c r="A12" i="2"/>
  <c r="Q12" i="2" s="1"/>
  <c r="A11" i="2"/>
  <c r="Q11" i="2" s="1"/>
  <c r="A10" i="2"/>
  <c r="Q10" i="2" s="1"/>
  <c r="Y1" i="2"/>
  <c r="X1" i="2"/>
  <c r="W1" i="2"/>
  <c r="W10" i="2" s="1"/>
  <c r="V1" i="2"/>
  <c r="U1" i="2"/>
  <c r="T1" i="2"/>
  <c r="S1" i="2"/>
  <c r="R1" i="2"/>
  <c r="Q1" i="2"/>
  <c r="P1" i="2"/>
  <c r="O1" i="2"/>
  <c r="N1" i="2"/>
  <c r="N10" i="2" s="1"/>
  <c r="M1" i="2"/>
  <c r="L1" i="2"/>
  <c r="K1" i="2"/>
  <c r="J1" i="2"/>
  <c r="I1" i="2"/>
  <c r="H1" i="2"/>
  <c r="G1" i="2"/>
  <c r="I47" i="1" a="1"/>
  <c r="I47" i="1" s="1"/>
  <c r="I26" i="1" a="1"/>
  <c r="I26" i="1" s="1"/>
  <c r="AJ24" i="1"/>
  <c r="AI24" i="1"/>
  <c r="AH24" i="1"/>
  <c r="AG24" i="1"/>
  <c r="AF24" i="1"/>
  <c r="AE24" i="1"/>
  <c r="AC24" i="1"/>
  <c r="AB24" i="1"/>
  <c r="AA24" i="1"/>
  <c r="Z24" i="1"/>
  <c r="Y24" i="1"/>
  <c r="X24" i="1"/>
  <c r="V24" i="1"/>
  <c r="U24" i="1"/>
  <c r="T24" i="1"/>
  <c r="S24" i="1"/>
  <c r="R24" i="1"/>
  <c r="Q24" i="1"/>
  <c r="O24" i="1"/>
  <c r="N24" i="1"/>
  <c r="M24" i="1"/>
  <c r="L24" i="1"/>
  <c r="K24" i="1"/>
  <c r="J24" i="1"/>
  <c r="AJ23" i="1"/>
  <c r="AI23" i="1"/>
  <c r="AH23" i="1"/>
  <c r="AG23" i="1"/>
  <c r="AF23" i="1"/>
  <c r="AE23" i="1"/>
  <c r="AC23" i="1"/>
  <c r="AB23" i="1"/>
  <c r="AA23" i="1"/>
  <c r="Z23" i="1"/>
  <c r="Y23" i="1"/>
  <c r="X23" i="1"/>
  <c r="V23" i="1"/>
  <c r="U23" i="1"/>
  <c r="T23" i="1"/>
  <c r="S23" i="1"/>
  <c r="R23" i="1"/>
  <c r="Q23" i="1"/>
  <c r="O23" i="1"/>
  <c r="N23" i="1"/>
  <c r="M23" i="1"/>
  <c r="L23" i="1"/>
  <c r="K23" i="1"/>
  <c r="J23" i="1"/>
  <c r="AJ22" i="1"/>
  <c r="AI22" i="1"/>
  <c r="AH22" i="1"/>
  <c r="AG22" i="1"/>
  <c r="AF22" i="1"/>
  <c r="AE22" i="1"/>
  <c r="AC22" i="1"/>
  <c r="AB22" i="1"/>
  <c r="AA22" i="1"/>
  <c r="Z22" i="1"/>
  <c r="Y22" i="1"/>
  <c r="X22" i="1"/>
  <c r="V22" i="1"/>
  <c r="U22" i="1"/>
  <c r="T22" i="1"/>
  <c r="S22" i="1"/>
  <c r="R22" i="1"/>
  <c r="Q22" i="1"/>
  <c r="O22" i="1"/>
  <c r="N22" i="1"/>
  <c r="M22" i="1"/>
  <c r="L22" i="1"/>
  <c r="K22" i="1"/>
  <c r="J22" i="1"/>
  <c r="AJ21" i="1"/>
  <c r="AI21" i="1"/>
  <c r="AH21" i="1"/>
  <c r="AG21" i="1"/>
  <c r="AF21" i="1"/>
  <c r="AE21" i="1"/>
  <c r="AC21" i="1"/>
  <c r="AB21" i="1"/>
  <c r="AA21" i="1"/>
  <c r="Z21" i="1"/>
  <c r="Y21" i="1"/>
  <c r="X21" i="1"/>
  <c r="V21" i="1"/>
  <c r="U21" i="1"/>
  <c r="T21" i="1"/>
  <c r="S21" i="1"/>
  <c r="R21" i="1"/>
  <c r="Q21" i="1"/>
  <c r="O21" i="1"/>
  <c r="N21" i="1"/>
  <c r="M21" i="1"/>
  <c r="L21" i="1"/>
  <c r="K21" i="1"/>
  <c r="J21" i="1"/>
  <c r="AJ20" i="1"/>
  <c r="AI20" i="1"/>
  <c r="AI73" i="1" s="1"/>
  <c r="AI87" i="1" s="1"/>
  <c r="AH20" i="1"/>
  <c r="AH73" i="1" s="1"/>
  <c r="AH87" i="1" s="1"/>
  <c r="AG20" i="1"/>
  <c r="AG73" i="1" s="1"/>
  <c r="AG87" i="1" s="1"/>
  <c r="AF20" i="1"/>
  <c r="AF73" i="1" s="1"/>
  <c r="AF87" i="1" s="1"/>
  <c r="AE20" i="1"/>
  <c r="AE73" i="1" s="1"/>
  <c r="AE87" i="1" s="1"/>
  <c r="AC20" i="1"/>
  <c r="AC73" i="1" s="1"/>
  <c r="AB20" i="1"/>
  <c r="AB73" i="1" s="1"/>
  <c r="AA20" i="1"/>
  <c r="AA73" i="1" s="1"/>
  <c r="Z20" i="1"/>
  <c r="Z73" i="1" s="1"/>
  <c r="Y20" i="1"/>
  <c r="Y73" i="1" s="1"/>
  <c r="X20" i="1"/>
  <c r="X73" i="1" s="1"/>
  <c r="V20" i="1"/>
  <c r="U20" i="1"/>
  <c r="U73" i="1" s="1"/>
  <c r="T20" i="1"/>
  <c r="T73" i="1" s="1"/>
  <c r="S20" i="1"/>
  <c r="S73" i="1" s="1"/>
  <c r="R20" i="1"/>
  <c r="R73" i="1" s="1"/>
  <c r="Q20" i="1"/>
  <c r="Q73" i="1" s="1"/>
  <c r="O20" i="1"/>
  <c r="O72" i="1" s="1"/>
  <c r="O74" i="1" s="1"/>
  <c r="N20" i="1"/>
  <c r="N73" i="1" s="1"/>
  <c r="M20" i="1"/>
  <c r="M73" i="1" s="1"/>
  <c r="L20" i="1"/>
  <c r="L73" i="1" s="1"/>
  <c r="K20" i="1"/>
  <c r="J20" i="1"/>
  <c r="J73" i="1" s="1"/>
  <c r="AE9" i="1" a="1"/>
  <c r="AI72" i="1" s="1"/>
  <c r="AI74" i="1" s="1"/>
  <c r="X9" i="1" a="1"/>
  <c r="Q9" i="1" a="1"/>
  <c r="Q9" i="1" s="1"/>
  <c r="J9" i="1" a="1"/>
  <c r="L29" i="3" l="1"/>
  <c r="J23" i="2"/>
  <c r="T23" i="2"/>
  <c r="T24" i="2"/>
  <c r="I30" i="2"/>
  <c r="I31" i="2"/>
  <c r="S31" i="2"/>
  <c r="T14" i="2"/>
  <c r="J31" i="2"/>
  <c r="L32" i="2"/>
  <c r="V10" i="2"/>
  <c r="L10" i="2"/>
  <c r="L11" i="2"/>
  <c r="V11" i="2"/>
  <c r="L12" i="2"/>
  <c r="V12" i="2"/>
  <c r="L13" i="2"/>
  <c r="V13" i="2"/>
  <c r="L14" i="2"/>
  <c r="V14" i="2"/>
  <c r="L16" i="2"/>
  <c r="V16" i="2"/>
  <c r="L17" i="2"/>
  <c r="V17" i="2"/>
  <c r="L18" i="2"/>
  <c r="V18" i="2"/>
  <c r="L19" i="2"/>
  <c r="V19" i="2"/>
  <c r="L20" i="2"/>
  <c r="V20" i="2"/>
  <c r="L21" i="2"/>
  <c r="V21" i="2"/>
  <c r="L23" i="2"/>
  <c r="V23" i="2"/>
  <c r="L24" i="2"/>
  <c r="V24" i="2"/>
  <c r="L25" i="2"/>
  <c r="J50" i="2" s="1"/>
  <c r="V25" i="2"/>
  <c r="J52" i="2" s="1"/>
  <c r="L26" i="2"/>
  <c r="V26" i="2"/>
  <c r="L27" i="2"/>
  <c r="V27" i="2"/>
  <c r="L28" i="2"/>
  <c r="V28" i="2"/>
  <c r="L30" i="2"/>
  <c r="V30" i="2"/>
  <c r="L31" i="2"/>
  <c r="V31" i="2"/>
  <c r="M32" i="2"/>
  <c r="W32" i="2"/>
  <c r="T30" i="2"/>
  <c r="T10" i="2"/>
  <c r="J10" i="2"/>
  <c r="M11" i="2"/>
  <c r="K54" i="2" s="1"/>
  <c r="W11" i="2"/>
  <c r="K56" i="2" s="1"/>
  <c r="M12" i="2"/>
  <c r="W12" i="2"/>
  <c r="M13" i="2"/>
  <c r="W13" i="2"/>
  <c r="M14" i="2"/>
  <c r="W14" i="2"/>
  <c r="M16" i="2"/>
  <c r="W16" i="2"/>
  <c r="M17" i="2"/>
  <c r="W17" i="2"/>
  <c r="M18" i="2"/>
  <c r="L58" i="2" s="1"/>
  <c r="W18" i="2"/>
  <c r="L60" i="2" s="1"/>
  <c r="M19" i="2"/>
  <c r="W19" i="2"/>
  <c r="M20" i="2"/>
  <c r="W20" i="2"/>
  <c r="M21" i="2"/>
  <c r="W21" i="2"/>
  <c r="M23" i="2"/>
  <c r="W23" i="2"/>
  <c r="M24" i="2"/>
  <c r="W24" i="2"/>
  <c r="M25" i="2"/>
  <c r="M62" i="2" s="1"/>
  <c r="W25" i="2"/>
  <c r="M64" i="2" s="1"/>
  <c r="M26" i="2"/>
  <c r="W26" i="2"/>
  <c r="M27" i="2"/>
  <c r="W27" i="2"/>
  <c r="M28" i="2"/>
  <c r="W28" i="2"/>
  <c r="M30" i="2"/>
  <c r="W30" i="2"/>
  <c r="M31" i="2"/>
  <c r="W31" i="2"/>
  <c r="N32" i="2"/>
  <c r="X32" i="2"/>
  <c r="S30" i="2"/>
  <c r="S10" i="2"/>
  <c r="I10" i="2"/>
  <c r="N11" i="2"/>
  <c r="N66" i="2" s="1"/>
  <c r="X11" i="2"/>
  <c r="N68" i="2" s="1"/>
  <c r="N12" i="2"/>
  <c r="X12" i="2"/>
  <c r="N13" i="2"/>
  <c r="X13" i="2"/>
  <c r="N14" i="2"/>
  <c r="X14" i="2"/>
  <c r="N16" i="2"/>
  <c r="X16" i="2"/>
  <c r="N17" i="2"/>
  <c r="X17" i="2"/>
  <c r="N18" i="2"/>
  <c r="O70" i="2" s="1"/>
  <c r="X18" i="2"/>
  <c r="O72" i="2" s="1"/>
  <c r="N19" i="2"/>
  <c r="X19" i="2"/>
  <c r="N20" i="2"/>
  <c r="X20" i="2"/>
  <c r="N21" i="2"/>
  <c r="X21" i="2"/>
  <c r="N23" i="2"/>
  <c r="X23" i="2"/>
  <c r="N24" i="2"/>
  <c r="X24" i="2"/>
  <c r="N25" i="2"/>
  <c r="P74" i="2" s="1"/>
  <c r="X25" i="2"/>
  <c r="P76" i="2" s="1"/>
  <c r="N26" i="2"/>
  <c r="X26" i="2"/>
  <c r="N27" i="2"/>
  <c r="X27" i="2"/>
  <c r="N28" i="2"/>
  <c r="X28" i="2"/>
  <c r="N30" i="2"/>
  <c r="X30" i="2"/>
  <c r="N31" i="2"/>
  <c r="X31" i="2"/>
  <c r="O32" i="2"/>
  <c r="Y32" i="2"/>
  <c r="I14" i="2"/>
  <c r="S14" i="2"/>
  <c r="I23" i="2"/>
  <c r="T16" i="2"/>
  <c r="J24" i="2"/>
  <c r="R10" i="2"/>
  <c r="H10" i="2"/>
  <c r="O11" i="2"/>
  <c r="Y11" i="2"/>
  <c r="O12" i="2"/>
  <c r="Y12" i="2"/>
  <c r="O13" i="2"/>
  <c r="Y13" i="2"/>
  <c r="O14" i="2"/>
  <c r="Y14" i="2"/>
  <c r="O16" i="2"/>
  <c r="Y16" i="2"/>
  <c r="O17" i="2"/>
  <c r="Y17" i="2"/>
  <c r="O18" i="2"/>
  <c r="Y18" i="2"/>
  <c r="O19" i="2"/>
  <c r="Y19" i="2"/>
  <c r="O20" i="2"/>
  <c r="Y20" i="2"/>
  <c r="O21" i="2"/>
  <c r="Y21" i="2"/>
  <c r="O23" i="2"/>
  <c r="Y23" i="2"/>
  <c r="O24" i="2"/>
  <c r="Y24" i="2"/>
  <c r="O25" i="2"/>
  <c r="Y25" i="2"/>
  <c r="O26" i="2"/>
  <c r="Y26" i="2"/>
  <c r="O27" i="2"/>
  <c r="Y27" i="2"/>
  <c r="O28" i="2"/>
  <c r="Y28" i="2"/>
  <c r="O30" i="2"/>
  <c r="Y30" i="2"/>
  <c r="O31" i="2"/>
  <c r="Y31" i="2"/>
  <c r="Q32" i="2"/>
  <c r="G32" i="2"/>
  <c r="S23" i="2"/>
  <c r="J14" i="2"/>
  <c r="J16" i="2"/>
  <c r="J30" i="2"/>
  <c r="T31" i="2"/>
  <c r="V32" i="2"/>
  <c r="G10" i="2"/>
  <c r="G11" i="2"/>
  <c r="G12" i="2"/>
  <c r="G13" i="2"/>
  <c r="G14" i="2"/>
  <c r="Q14" i="2"/>
  <c r="G16" i="2"/>
  <c r="G17" i="2"/>
  <c r="G18" i="2"/>
  <c r="I45" i="2" s="1"/>
  <c r="Q18" i="2"/>
  <c r="G19" i="2"/>
  <c r="Q19" i="2"/>
  <c r="G20" i="2"/>
  <c r="Q20" i="2"/>
  <c r="G21" i="2"/>
  <c r="Q21" i="2"/>
  <c r="G23" i="2"/>
  <c r="Q23" i="2"/>
  <c r="G24" i="2"/>
  <c r="Q24" i="2"/>
  <c r="G25" i="2"/>
  <c r="J49" i="2" s="1"/>
  <c r="Q25" i="2"/>
  <c r="J51" i="2" s="1"/>
  <c r="G26" i="2"/>
  <c r="Q26" i="2"/>
  <c r="G27" i="2"/>
  <c r="Q27" i="2"/>
  <c r="G28" i="2"/>
  <c r="Q28" i="2"/>
  <c r="G30" i="2"/>
  <c r="Q30" i="2"/>
  <c r="G31" i="2"/>
  <c r="Q31" i="2"/>
  <c r="H32" i="2"/>
  <c r="R32" i="2"/>
  <c r="H14" i="2"/>
  <c r="H19" i="2"/>
  <c r="H20" i="2"/>
  <c r="H21" i="2"/>
  <c r="H23" i="2"/>
  <c r="H24" i="2"/>
  <c r="H25" i="2"/>
  <c r="H26" i="2"/>
  <c r="M61" i="2" s="1"/>
  <c r="H27" i="2"/>
  <c r="H28" i="2"/>
  <c r="H30" i="2"/>
  <c r="H31" i="2"/>
  <c r="I32" i="2"/>
  <c r="S29" i="2"/>
  <c r="G75" i="2" s="1"/>
  <c r="Y22" i="2"/>
  <c r="G22" i="2"/>
  <c r="G45" i="2" s="1"/>
  <c r="G15" i="2"/>
  <c r="G41" i="2" s="1"/>
  <c r="L29" i="2"/>
  <c r="G50" i="2" s="1"/>
  <c r="T29" i="2"/>
  <c r="M29" i="2"/>
  <c r="G62" i="2" s="1"/>
  <c r="N29" i="2"/>
  <c r="G74" i="2" s="1"/>
  <c r="V29" i="2"/>
  <c r="G52" i="2" s="1"/>
  <c r="G29" i="2"/>
  <c r="G49" i="2" s="1"/>
  <c r="O29" i="2"/>
  <c r="W29" i="2"/>
  <c r="G64" i="2" s="1"/>
  <c r="H29" i="2"/>
  <c r="G61" i="2" s="1"/>
  <c r="X29" i="2"/>
  <c r="G76" i="2" s="1"/>
  <c r="I29" i="2"/>
  <c r="G73" i="2" s="1"/>
  <c r="Q29" i="2"/>
  <c r="G51" i="2" s="1"/>
  <c r="Y29" i="2"/>
  <c r="J29" i="2"/>
  <c r="R29" i="2"/>
  <c r="G63" i="2" s="1"/>
  <c r="J22" i="2"/>
  <c r="I22" i="2"/>
  <c r="G69" i="2" s="1"/>
  <c r="R22" i="2"/>
  <c r="G59" i="2" s="1"/>
  <c r="T22" i="2"/>
  <c r="L22" i="2"/>
  <c r="G46" i="2" s="1"/>
  <c r="N22" i="2"/>
  <c r="G70" i="2" s="1"/>
  <c r="V22" i="2"/>
  <c r="G48" i="2" s="1"/>
  <c r="S22" i="2"/>
  <c r="G71" i="2" s="1"/>
  <c r="O22" i="2"/>
  <c r="W22" i="2"/>
  <c r="G60" i="2" s="1"/>
  <c r="X22" i="2"/>
  <c r="G72" i="2" s="1"/>
  <c r="M22" i="2"/>
  <c r="G58" i="2" s="1"/>
  <c r="H22" i="2"/>
  <c r="G57" i="2" s="1"/>
  <c r="Q22" i="2"/>
  <c r="G47" i="2" s="1"/>
  <c r="T15" i="2"/>
  <c r="N15" i="2"/>
  <c r="G66" i="2" s="1"/>
  <c r="M15" i="2"/>
  <c r="G54" i="2" s="1"/>
  <c r="O15" i="2"/>
  <c r="W15" i="2"/>
  <c r="G56" i="2" s="1"/>
  <c r="H15" i="2"/>
  <c r="G53" i="2" s="1"/>
  <c r="X15" i="2"/>
  <c r="G68" i="2" s="1"/>
  <c r="I15" i="2"/>
  <c r="G65" i="2" s="1"/>
  <c r="Q15" i="2"/>
  <c r="G43" i="2" s="1"/>
  <c r="Y15" i="2"/>
  <c r="V15" i="2"/>
  <c r="G44" i="2" s="1"/>
  <c r="J15" i="2"/>
  <c r="R15" i="2"/>
  <c r="G55" i="2" s="1"/>
  <c r="S15" i="2"/>
  <c r="G67" i="2" s="1"/>
  <c r="L15" i="2"/>
  <c r="G42" i="2" s="1"/>
  <c r="K73" i="1"/>
  <c r="AA72" i="1"/>
  <c r="AA74" i="1" s="1"/>
  <c r="Z72" i="1"/>
  <c r="Z74" i="1" s="1"/>
  <c r="X87" i="1" a="1"/>
  <c r="X87" i="1" s="1"/>
  <c r="O73" i="1"/>
  <c r="N72" i="1"/>
  <c r="N74" i="1" s="1"/>
  <c r="J9" i="1"/>
  <c r="M72" i="1"/>
  <c r="M74" i="1" s="1"/>
  <c r="L72" i="1"/>
  <c r="L74" i="1" s="1"/>
  <c r="Q47" i="1" a="1"/>
  <c r="R72" i="1"/>
  <c r="R74" i="1" s="1"/>
  <c r="U72" i="1"/>
  <c r="U74" i="1" s="1"/>
  <c r="K72" i="1"/>
  <c r="K74" i="1" s="1"/>
  <c r="AC72" i="1"/>
  <c r="AC74" i="1" s="1"/>
  <c r="Q26" i="1" a="1"/>
  <c r="X9" i="1"/>
  <c r="AH72" i="1"/>
  <c r="AH74" i="1" s="1"/>
  <c r="V73" i="1"/>
  <c r="Q87" i="1" s="1" a="1"/>
  <c r="V72" i="1"/>
  <c r="V74" i="1" s="1"/>
  <c r="AB72" i="1"/>
  <c r="AB74" i="1" s="1"/>
  <c r="AG72" i="1"/>
  <c r="AG74" i="1" s="1"/>
  <c r="AF72" i="1"/>
  <c r="AF74" i="1" s="1"/>
  <c r="AE9" i="1"/>
  <c r="S72" i="1"/>
  <c r="S74" i="1" s="1"/>
  <c r="Q72" i="1"/>
  <c r="Q74" i="1" s="1"/>
  <c r="AJ73" i="1"/>
  <c r="AJ87" i="1" s="1"/>
  <c r="AJ72" i="1"/>
  <c r="AJ74" i="1" s="1"/>
  <c r="T72" i="1"/>
  <c r="T74" i="1" s="1"/>
  <c r="Y72" i="1"/>
  <c r="Y74" i="1" s="1"/>
  <c r="Q5" i="3" l="1" a="1"/>
  <c r="Q5" i="3" s="1"/>
  <c r="M5" i="3" a="1"/>
  <c r="M5" i="3" s="1"/>
  <c r="U5" i="3" a="1"/>
  <c r="U5" i="3" s="1"/>
  <c r="J87" i="1" a="1"/>
  <c r="Q87" i="1"/>
  <c r="R116" i="1"/>
  <c r="S83" i="1"/>
  <c r="S82" i="1"/>
  <c r="R83" i="1"/>
  <c r="R82" i="1"/>
  <c r="U116" i="1"/>
  <c r="T116" i="1"/>
  <c r="V83" i="1"/>
  <c r="V82" i="1"/>
  <c r="S116" i="1"/>
  <c r="U83" i="1"/>
  <c r="U82" i="1"/>
  <c r="Q47" i="1"/>
  <c r="T83" i="1"/>
  <c r="Q83" i="1"/>
  <c r="T82" i="1"/>
  <c r="V116" i="1"/>
  <c r="AE47" i="1" a="1"/>
  <c r="AE72" i="1"/>
  <c r="AE74" i="1" s="1"/>
  <c r="Q75" i="1" s="1" a="1"/>
  <c r="AE26" i="1" a="1"/>
  <c r="R115" i="1"/>
  <c r="S78" i="1"/>
  <c r="S77" i="1"/>
  <c r="R78" i="1"/>
  <c r="R77" i="1"/>
  <c r="U115" i="1"/>
  <c r="V77" i="1"/>
  <c r="V79" i="1" s="1"/>
  <c r="T115" i="1"/>
  <c r="V78" i="1"/>
  <c r="S115" i="1"/>
  <c r="U78" i="1"/>
  <c r="U77" i="1"/>
  <c r="T78" i="1"/>
  <c r="Q78" i="1"/>
  <c r="T77" i="1"/>
  <c r="Q26" i="1"/>
  <c r="V115" i="1"/>
  <c r="J26" i="1" a="1"/>
  <c r="J47" i="1" a="1"/>
  <c r="J72" i="1"/>
  <c r="J74" i="1" s="1"/>
  <c r="X72" i="1"/>
  <c r="X74" i="1" s="1"/>
  <c r="X26" i="1" a="1"/>
  <c r="X47" i="1" a="1"/>
  <c r="J87" i="1" l="1"/>
  <c r="H43" i="2"/>
  <c r="H41" i="2"/>
  <c r="H42" i="2"/>
  <c r="H44" i="2"/>
  <c r="R79" i="1"/>
  <c r="S84" i="1"/>
  <c r="S119" i="1"/>
  <c r="U79" i="1"/>
  <c r="T84" i="1"/>
  <c r="Q75" i="1"/>
  <c r="Q93" i="1" s="1" a="1"/>
  <c r="AA116" i="1"/>
  <c r="Z116" i="1"/>
  <c r="AB83" i="1"/>
  <c r="AB82" i="1"/>
  <c r="Y116" i="1"/>
  <c r="AA83" i="1"/>
  <c r="AA82" i="1"/>
  <c r="X83" i="1"/>
  <c r="X47" i="1"/>
  <c r="AC116" i="1"/>
  <c r="AB116" i="1"/>
  <c r="Z83" i="1"/>
  <c r="AC82" i="1"/>
  <c r="Y83" i="1"/>
  <c r="Z82" i="1"/>
  <c r="AC83" i="1"/>
  <c r="Y82" i="1"/>
  <c r="J83" i="1"/>
  <c r="O116" i="1"/>
  <c r="L116" i="1"/>
  <c r="N83" i="1"/>
  <c r="N82" i="1"/>
  <c r="K116" i="1"/>
  <c r="M83" i="1"/>
  <c r="M82" i="1"/>
  <c r="L83" i="1"/>
  <c r="L82" i="1"/>
  <c r="J47" i="1"/>
  <c r="O83" i="1"/>
  <c r="K83" i="1"/>
  <c r="O82" i="1"/>
  <c r="M116" i="1"/>
  <c r="N116" i="1"/>
  <c r="K82" i="1"/>
  <c r="S79" i="1"/>
  <c r="V119" i="1"/>
  <c r="V84" i="1"/>
  <c r="V108" i="1" s="1"/>
  <c r="N134" i="1" s="1" a="1"/>
  <c r="N134" i="1" s="1"/>
  <c r="R119" i="1"/>
  <c r="AA115" i="1"/>
  <c r="Z115" i="1"/>
  <c r="AB78" i="1"/>
  <c r="AB77" i="1"/>
  <c r="AB79" i="1" s="1"/>
  <c r="Y115" i="1"/>
  <c r="AA78" i="1"/>
  <c r="AA77" i="1"/>
  <c r="X78" i="1"/>
  <c r="AC115" i="1"/>
  <c r="AB115" i="1"/>
  <c r="X26" i="1"/>
  <c r="Y77" i="1"/>
  <c r="Y79" i="1" s="1"/>
  <c r="Y78" i="1"/>
  <c r="AC78" i="1"/>
  <c r="Z77" i="1"/>
  <c r="Z78" i="1"/>
  <c r="AC77" i="1"/>
  <c r="X75" i="1" a="1"/>
  <c r="V120" i="1"/>
  <c r="V118" i="1"/>
  <c r="R120" i="1"/>
  <c r="R118" i="1"/>
  <c r="Q89" i="1" a="1"/>
  <c r="T119" i="1"/>
  <c r="J78" i="1"/>
  <c r="O115" i="1"/>
  <c r="L115" i="1"/>
  <c r="N78" i="1"/>
  <c r="N77" i="1"/>
  <c r="K115" i="1"/>
  <c r="M78" i="1"/>
  <c r="M77" i="1"/>
  <c r="L78" i="1"/>
  <c r="L77" i="1"/>
  <c r="J26" i="1"/>
  <c r="O78" i="1"/>
  <c r="K78" i="1"/>
  <c r="O77" i="1"/>
  <c r="N115" i="1"/>
  <c r="K77" i="1"/>
  <c r="M115" i="1"/>
  <c r="Q115" i="1"/>
  <c r="Q77" i="1"/>
  <c r="T120" i="1"/>
  <c r="T118" i="1"/>
  <c r="AJ115" i="1"/>
  <c r="AI115" i="1"/>
  <c r="AH115" i="1"/>
  <c r="AJ78" i="1"/>
  <c r="AJ88" i="1" s="1"/>
  <c r="AJ77" i="1"/>
  <c r="AG78" i="1"/>
  <c r="AG77" i="1"/>
  <c r="AE26" i="1"/>
  <c r="AF78" i="1"/>
  <c r="AF77" i="1"/>
  <c r="AE78" i="1"/>
  <c r="AE88" i="1" s="1"/>
  <c r="AG115" i="1"/>
  <c r="AF115" i="1"/>
  <c r="AH78" i="1"/>
  <c r="AI77" i="1"/>
  <c r="AI78" i="1"/>
  <c r="AH77" i="1"/>
  <c r="U119" i="1"/>
  <c r="S120" i="1"/>
  <c r="S118" i="1"/>
  <c r="T79" i="1"/>
  <c r="Q95" i="1" a="1"/>
  <c r="AE75" i="1" a="1"/>
  <c r="AE95" i="1" a="1"/>
  <c r="X95" i="1" a="1"/>
  <c r="J95" i="1" a="1"/>
  <c r="Q116" i="1"/>
  <c r="Q82" i="1"/>
  <c r="R84" i="1"/>
  <c r="J75" i="1" a="1"/>
  <c r="Q88" i="1" a="1"/>
  <c r="U120" i="1"/>
  <c r="U118" i="1"/>
  <c r="AJ116" i="1"/>
  <c r="AJ119" i="1" s="1"/>
  <c r="AI116" i="1"/>
  <c r="AH116" i="1"/>
  <c r="AJ83" i="1"/>
  <c r="AJ89" i="1" s="1"/>
  <c r="AJ82" i="1"/>
  <c r="AG83" i="1"/>
  <c r="AG82" i="1"/>
  <c r="AF83" i="1"/>
  <c r="AF82" i="1"/>
  <c r="AF84" i="1" s="1"/>
  <c r="AE83" i="1"/>
  <c r="AE89" i="1" s="1"/>
  <c r="AE47" i="1"/>
  <c r="AG116" i="1"/>
  <c r="AF116" i="1"/>
  <c r="AI83" i="1"/>
  <c r="AH82" i="1"/>
  <c r="AH83" i="1"/>
  <c r="AI82" i="1"/>
  <c r="U84" i="1"/>
  <c r="AH84" i="1" l="1"/>
  <c r="K84" i="1"/>
  <c r="Q89" i="1"/>
  <c r="AH89" i="1"/>
  <c r="AF89" i="1"/>
  <c r="AF88" i="1"/>
  <c r="AI89" i="1"/>
  <c r="AI88" i="1"/>
  <c r="S108" i="1"/>
  <c r="Q88" i="1"/>
  <c r="AG88" i="1"/>
  <c r="Q93" i="1"/>
  <c r="AG89" i="1"/>
  <c r="AH88" i="1"/>
  <c r="AC79" i="1"/>
  <c r="Z84" i="1"/>
  <c r="U108" i="1"/>
  <c r="AG79" i="1"/>
  <c r="R108" i="1"/>
  <c r="AI79" i="1"/>
  <c r="T108" i="1"/>
  <c r="J89" i="1" a="1"/>
  <c r="AC119" i="1"/>
  <c r="Z119" i="1"/>
  <c r="Q79" i="1"/>
  <c r="O84" i="1"/>
  <c r="K119" i="1"/>
  <c r="AA84" i="1"/>
  <c r="AG119" i="1"/>
  <c r="AJ79" i="1"/>
  <c r="AI119" i="1"/>
  <c r="M79" i="1"/>
  <c r="N84" i="1"/>
  <c r="L84" i="1"/>
  <c r="O119" i="1"/>
  <c r="AB119" i="1"/>
  <c r="AE75" i="1"/>
  <c r="AE93" i="1" s="1" a="1"/>
  <c r="L120" i="1"/>
  <c r="L118" i="1"/>
  <c r="Q84" i="1"/>
  <c r="AF120" i="1"/>
  <c r="AF118" i="1"/>
  <c r="Q120" i="1"/>
  <c r="Q118" i="1"/>
  <c r="L79" i="1"/>
  <c r="O120" i="1"/>
  <c r="O118" i="1"/>
  <c r="X75" i="1"/>
  <c r="X92" i="1" s="1" a="1"/>
  <c r="X77" i="1"/>
  <c r="X115" i="1"/>
  <c r="N119" i="1"/>
  <c r="M84" i="1"/>
  <c r="Y84" i="1"/>
  <c r="X82" i="1"/>
  <c r="X116" i="1"/>
  <c r="AA119" i="1"/>
  <c r="AG84" i="1"/>
  <c r="Q119" i="1"/>
  <c r="AG120" i="1"/>
  <c r="AG118" i="1"/>
  <c r="M118" i="1"/>
  <c r="M120" i="1"/>
  <c r="J88" i="1" a="1"/>
  <c r="AB120" i="1"/>
  <c r="AB118" i="1"/>
  <c r="Z120" i="1"/>
  <c r="Z118" i="1"/>
  <c r="M119" i="1"/>
  <c r="X89" i="1" a="1"/>
  <c r="AI84" i="1"/>
  <c r="J77" i="1"/>
  <c r="J115" i="1"/>
  <c r="AH120" i="1"/>
  <c r="AH118" i="1"/>
  <c r="AJ84" i="1"/>
  <c r="AJ108" i="1" s="1"/>
  <c r="N136" i="1" s="1" a="1"/>
  <c r="N136" i="1" s="1"/>
  <c r="AI120" i="1"/>
  <c r="AI118" i="1"/>
  <c r="Q92" i="1" a="1"/>
  <c r="Q95" i="1"/>
  <c r="J95" i="1"/>
  <c r="K79" i="1"/>
  <c r="AC120" i="1"/>
  <c r="AC118" i="1"/>
  <c r="J75" i="1"/>
  <c r="J93" i="1" s="1" a="1"/>
  <c r="AF79" i="1"/>
  <c r="N118" i="1"/>
  <c r="N120" i="1"/>
  <c r="X88" i="1" a="1"/>
  <c r="AE95" i="1"/>
  <c r="AH79" i="1"/>
  <c r="AJ120" i="1"/>
  <c r="AJ118" i="1"/>
  <c r="O79" i="1"/>
  <c r="K120" i="1"/>
  <c r="K118" i="1"/>
  <c r="Z79" i="1"/>
  <c r="AA79" i="1"/>
  <c r="AC84" i="1"/>
  <c r="AC108" i="1" s="1"/>
  <c r="N135" i="1" s="1" a="1"/>
  <c r="N135" i="1" s="1"/>
  <c r="Y119" i="1"/>
  <c r="Y120" i="1"/>
  <c r="Y118" i="1"/>
  <c r="AA120" i="1"/>
  <c r="AA118" i="1"/>
  <c r="AF119" i="1"/>
  <c r="X95" i="1"/>
  <c r="AE116" i="1"/>
  <c r="AE82" i="1"/>
  <c r="AH119" i="1"/>
  <c r="AE115" i="1"/>
  <c r="AE77" i="1"/>
  <c r="N79" i="1"/>
  <c r="J82" i="1"/>
  <c r="J116" i="1"/>
  <c r="L119" i="1"/>
  <c r="AB84" i="1"/>
  <c r="J134" i="1" l="1" a="1"/>
  <c r="J134" i="1" s="1"/>
  <c r="AH108" i="1"/>
  <c r="AB108" i="1"/>
  <c r="K108" i="1"/>
  <c r="X88" i="1"/>
  <c r="X92" i="1"/>
  <c r="J88" i="1"/>
  <c r="I48" i="2"/>
  <c r="I47" i="2"/>
  <c r="I46" i="2"/>
  <c r="M134" i="1" a="1"/>
  <c r="M134" i="1" s="1"/>
  <c r="J89" i="1"/>
  <c r="K134" i="1" a="1"/>
  <c r="K134" i="1" s="1"/>
  <c r="Q92" i="1"/>
  <c r="AF108" i="1"/>
  <c r="X89" i="1"/>
  <c r="Y108" i="1"/>
  <c r="AE93" i="1"/>
  <c r="L134" i="1" a="1"/>
  <c r="L134" i="1" s="1"/>
  <c r="Z108" i="1"/>
  <c r="J93" i="1"/>
  <c r="M108" i="1"/>
  <c r="AG108" i="1"/>
  <c r="AI108" i="1"/>
  <c r="O108" i="1"/>
  <c r="N133" i="1" s="1" a="1"/>
  <c r="N133" i="1" s="1"/>
  <c r="AA108" i="1"/>
  <c r="J92" i="1" a="1"/>
  <c r="AE79" i="1"/>
  <c r="AE80" i="1" s="1" a="1"/>
  <c r="Q108" i="1"/>
  <c r="I134" i="1" s="1" a="1"/>
  <c r="I134" i="1" s="1"/>
  <c r="X93" i="1" a="1"/>
  <c r="X84" i="1"/>
  <c r="X119" i="1"/>
  <c r="J84" i="1"/>
  <c r="L108" i="1"/>
  <c r="N108" i="1"/>
  <c r="AE92" i="1" a="1"/>
  <c r="AE120" i="1"/>
  <c r="AE118" i="1"/>
  <c r="AE84" i="1"/>
  <c r="Q85" i="1" s="1" a="1"/>
  <c r="Q85" i="1" s="1"/>
  <c r="X120" i="1"/>
  <c r="X118" i="1"/>
  <c r="Q100" i="1" a="1"/>
  <c r="AE119" i="1"/>
  <c r="J120" i="1"/>
  <c r="J118" i="1"/>
  <c r="X79" i="1"/>
  <c r="Q101" i="1" a="1"/>
  <c r="J119" i="1"/>
  <c r="J79" i="1"/>
  <c r="J133" i="1" l="1" a="1"/>
  <c r="J133" i="1" s="1"/>
  <c r="K133" i="1" a="1"/>
  <c r="K133" i="1" s="1"/>
  <c r="L135" i="1" a="1"/>
  <c r="L135" i="1" s="1"/>
  <c r="J135" i="1" a="1"/>
  <c r="J135" i="1" s="1"/>
  <c r="J92" i="1"/>
  <c r="AE92" i="1"/>
  <c r="K135" i="1" a="1"/>
  <c r="K135" i="1" s="1"/>
  <c r="J136" i="1" a="1"/>
  <c r="J136" i="1" s="1"/>
  <c r="J100" i="1" a="1"/>
  <c r="K136" i="1" a="1"/>
  <c r="K136" i="1" s="1"/>
  <c r="L136" i="1" a="1"/>
  <c r="L136" i="1" s="1"/>
  <c r="Q100" i="1"/>
  <c r="L133" i="1" a="1"/>
  <c r="L133" i="1" s="1"/>
  <c r="M133" i="1" a="1"/>
  <c r="M133" i="1" s="1"/>
  <c r="Q101" i="1"/>
  <c r="M136" i="1" a="1"/>
  <c r="M136" i="1" s="1"/>
  <c r="Q80" i="1" a="1"/>
  <c r="Q80" i="1" s="1"/>
  <c r="Q99" i="1" s="1" a="1"/>
  <c r="X93" i="1"/>
  <c r="M135" i="1" a="1"/>
  <c r="M135" i="1" s="1"/>
  <c r="Q96" i="1" a="1"/>
  <c r="AE96" i="1" a="1"/>
  <c r="J96" i="1" a="1"/>
  <c r="J108" i="1"/>
  <c r="I133" i="1" s="1" a="1"/>
  <c r="I133" i="1" s="1"/>
  <c r="X96" i="1" a="1"/>
  <c r="X85" i="1" a="1"/>
  <c r="X85" i="1" s="1"/>
  <c r="Q97" i="1" a="1"/>
  <c r="AE85" i="1" a="1"/>
  <c r="AE85" i="1" s="1"/>
  <c r="AE100" i="1" a="1"/>
  <c r="AE97" i="1" a="1"/>
  <c r="X97" i="1" a="1"/>
  <c r="J97" i="1" a="1"/>
  <c r="AE108" i="1"/>
  <c r="I136" i="1" s="1" a="1"/>
  <c r="I136" i="1" s="1"/>
  <c r="J85" i="1" a="1"/>
  <c r="J85" i="1" s="1"/>
  <c r="X101" i="1" a="1"/>
  <c r="X80" i="1" a="1"/>
  <c r="X108" i="1"/>
  <c r="X100" i="1" a="1"/>
  <c r="AE101" i="1" a="1"/>
  <c r="AE80" i="1"/>
  <c r="J80" i="1" a="1"/>
  <c r="J101" i="1" a="1"/>
  <c r="AE101" i="1" l="1"/>
  <c r="X97" i="1"/>
  <c r="J100" i="1"/>
  <c r="J97" i="1"/>
  <c r="X96" i="1"/>
  <c r="X100" i="1"/>
  <c r="AE96" i="1"/>
  <c r="Q96" i="1"/>
  <c r="J109" i="1" a="1"/>
  <c r="J109" i="1" s="1"/>
  <c r="Q97" i="1"/>
  <c r="J101" i="1"/>
  <c r="AE97" i="1"/>
  <c r="J96" i="1"/>
  <c r="AE100" i="1"/>
  <c r="X101" i="1"/>
  <c r="X109" i="1" a="1"/>
  <c r="X109" i="1" s="1"/>
  <c r="I135" i="1" a="1"/>
  <c r="I135" i="1" s="1"/>
  <c r="AE99" i="1" a="1"/>
  <c r="Q99" i="1"/>
  <c r="T103" i="1"/>
  <c r="S103" i="1"/>
  <c r="R103" i="1"/>
  <c r="U103" i="1"/>
  <c r="V103" i="1"/>
  <c r="X80" i="1"/>
  <c r="X99" i="1" s="1" a="1"/>
  <c r="J80" i="1"/>
  <c r="J99" i="1" s="1" a="1"/>
  <c r="AE109" i="1" a="1"/>
  <c r="AE109" i="1" s="1"/>
  <c r="Q109" i="1" a="1"/>
  <c r="Q109" i="1" s="1"/>
  <c r="Q104" i="1" l="1" a="1"/>
  <c r="Q104" i="1"/>
  <c r="AE99" i="1"/>
  <c r="AE103" i="1" s="1"/>
  <c r="Q103" i="1"/>
  <c r="AH103" i="1"/>
  <c r="AJ103" i="1"/>
  <c r="AG103" i="1"/>
  <c r="AF103" i="1"/>
  <c r="AI103" i="1"/>
  <c r="J99" i="1"/>
  <c r="J104" i="1" s="1" a="1"/>
  <c r="L103" i="1"/>
  <c r="M103" i="1"/>
  <c r="N103" i="1"/>
  <c r="O103" i="1"/>
  <c r="K103" i="1"/>
  <c r="X99" i="1"/>
  <c r="Y103" i="1"/>
  <c r="AC103" i="1"/>
  <c r="Z103" i="1"/>
  <c r="AB103" i="1"/>
  <c r="AA103" i="1"/>
  <c r="J104" i="1" l="1"/>
  <c r="X103" i="1"/>
  <c r="X104" i="1" a="1"/>
  <c r="J103" i="1"/>
  <c r="X10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<sst xmlns="http://schemas.openxmlformats.org/spreadsheetml/2006/main" count="492" uniqueCount="203">
  <si>
    <t>effect2</t>
  </si>
  <si>
    <t>effect3</t>
  </si>
  <si>
    <t>兄弟数</t>
  </si>
  <si>
    <t>父中卒ref</t>
  </si>
  <si>
    <t>父高卒</t>
  </si>
  <si>
    <t>父大卒</t>
  </si>
  <si>
    <t>世代40s ref</t>
  </si>
  <si>
    <t xml:space="preserve"> 50s</t>
  </si>
  <si>
    <t xml:space="preserve"> 60s</t>
  </si>
  <si>
    <t xml:space="preserve"> 70s</t>
  </si>
  <si>
    <t xml:space="preserve"> 80-90s</t>
  </si>
  <si>
    <t>EGP I+II</t>
  </si>
  <si>
    <t xml:space="preserve"> IIIab</t>
  </si>
  <si>
    <t xml:space="preserve"> IVab</t>
  </si>
  <si>
    <t xml:space="preserve"> V+VI+VIIab+IVc</t>
  </si>
  <si>
    <t xml:space="preserve"> job+abs</t>
  </si>
  <si>
    <t>世代× I+II</t>
  </si>
  <si>
    <t>定数</t>
  </si>
  <si>
    <t>高校</t>
  </si>
  <si>
    <t>xb</t>
  </si>
  <si>
    <t>父職効果</t>
  </si>
  <si>
    <t>　確率</t>
  </si>
  <si>
    <t>p*_1</t>
  </si>
  <si>
    <t>短専</t>
  </si>
  <si>
    <t>進学率</t>
  </si>
  <si>
    <t>p*_2</t>
  </si>
  <si>
    <t>大学</t>
  </si>
  <si>
    <t>p*_3</t>
  </si>
  <si>
    <t>effect1</t>
  </si>
  <si>
    <t>Risk1</t>
  </si>
  <si>
    <t>Risk2</t>
  </si>
  <si>
    <t>Risk3</t>
  </si>
  <si>
    <t>p_1(1-q_1)</t>
  </si>
  <si>
    <t>P_2*(1-P2)</t>
  </si>
  <si>
    <t>p_3(1-q_3)</t>
  </si>
  <si>
    <t>G1</t>
  </si>
  <si>
    <t>G2</t>
  </si>
  <si>
    <t>G3</t>
  </si>
  <si>
    <t>D(L)</t>
  </si>
  <si>
    <t xml:space="preserve"> T1</t>
  </si>
  <si>
    <t xml:space="preserve"> T2</t>
  </si>
  <si>
    <t xml:space="preserve"> T3</t>
  </si>
  <si>
    <t>短大専門</t>
  </si>
  <si>
    <t>短専確率</t>
  </si>
  <si>
    <t>大学確率</t>
  </si>
  <si>
    <t>非進学確率</t>
  </si>
  <si>
    <t>L0</t>
    <phoneticPr fontId="2"/>
  </si>
  <si>
    <t>L1</t>
    <phoneticPr fontId="2"/>
  </si>
  <si>
    <t>L2</t>
    <phoneticPr fontId="2"/>
  </si>
  <si>
    <t>L3</t>
    <phoneticPr fontId="2"/>
  </si>
  <si>
    <t>期待教育年数</t>
    <rPh sb="0" eb="6">
      <t>キタイキョウイクネンスウ</t>
    </rPh>
    <phoneticPr fontId="2"/>
  </si>
  <si>
    <t>格差</t>
    <rPh sb="0" eb="2">
      <t>カクサ</t>
    </rPh>
    <phoneticPr fontId="2"/>
  </si>
  <si>
    <t>FEMALE</t>
  </si>
  <si>
    <t>N=</t>
  </si>
  <si>
    <t>N=</t>
  </si>
  <si>
    <t>trans1</t>
  </si>
  <si>
    <t>Jrcol_Tech</t>
  </si>
  <si>
    <t>Higher</t>
  </si>
  <si>
    <t>sibs</t>
  </si>
  <si>
    <t>1b.mutate_edu</t>
  </si>
  <si>
    <t>2.mutate_edu</t>
  </si>
  <si>
    <t>3.mutate_edu</t>
  </si>
  <si>
    <t>4b.pcoh5</t>
  </si>
  <si>
    <t>5.pcoh5</t>
  </si>
  <si>
    <t>6.pcoh5</t>
  </si>
  <si>
    <t>7.pcoh5</t>
  </si>
  <si>
    <t>8.pcoh5</t>
  </si>
  <si>
    <t>o.pcoh5</t>
  </si>
  <si>
    <t>1.fegp4</t>
  </si>
  <si>
    <t>2.fegp4</t>
  </si>
  <si>
    <t>3.fegp4</t>
  </si>
  <si>
    <t>4b.fegp4</t>
  </si>
  <si>
    <t>5.fegp4</t>
  </si>
  <si>
    <t>1.fegp4#c.pcoh5</t>
  </si>
  <si>
    <t>2.fegp4#c.pcoh5</t>
  </si>
  <si>
    <t>3.fegp4#c.pcoh5</t>
  </si>
  <si>
    <t>4b.fegp4#co.pcoh5</t>
  </si>
  <si>
    <t>5.fegp4#c.pcoh5</t>
  </si>
  <si>
    <t>_cons</t>
  </si>
  <si>
    <t>sibs</t>
  </si>
  <si>
    <t>1b.mutate_edu</t>
  </si>
  <si>
    <t>2.mutate_edu</t>
  </si>
  <si>
    <t>3.mutate_edu</t>
  </si>
  <si>
    <t>4b.pcoh5</t>
  </si>
  <si>
    <t>5.pcoh5</t>
  </si>
  <si>
    <t>6.pcoh5</t>
  </si>
  <si>
    <t>7.pcoh5</t>
  </si>
  <si>
    <t>8.pcoh5</t>
  </si>
  <si>
    <t>o.pcoh5</t>
  </si>
  <si>
    <t>1.fegp4</t>
  </si>
  <si>
    <t>2.fegp4</t>
  </si>
  <si>
    <t>3.fegp4</t>
  </si>
  <si>
    <t>4b.fegp4</t>
  </si>
  <si>
    <t>5.fegp4</t>
  </si>
  <si>
    <t>1.fegp4#c.pcoh5</t>
  </si>
  <si>
    <t>2.fegp4#c.pcoh5</t>
  </si>
  <si>
    <t>3.fegp4#c.pcoh5</t>
  </si>
  <si>
    <t>4b.fegp4#co.pcoh5</t>
  </si>
  <si>
    <t>5.fegp4#c.pcoh5</t>
  </si>
  <si>
    <t>_cons</t>
  </si>
  <si>
    <t>sibs</t>
  </si>
  <si>
    <t>1b.mutate_edu</t>
  </si>
  <si>
    <t>2.mutate_edu</t>
  </si>
  <si>
    <t>3.mutate_edu</t>
  </si>
  <si>
    <t>4b.pcoh5</t>
  </si>
  <si>
    <t>5.pcoh5</t>
  </si>
  <si>
    <t>6.pcoh5</t>
  </si>
  <si>
    <t>7.pcoh5</t>
  </si>
  <si>
    <t>8.pcoh5</t>
  </si>
  <si>
    <t>o.pcoh5</t>
  </si>
  <si>
    <t>1.fegp4</t>
  </si>
  <si>
    <t>2.fegp4</t>
  </si>
  <si>
    <t>3.fegp4</t>
  </si>
  <si>
    <t>4b.fegp4</t>
  </si>
  <si>
    <t>5.fegp4</t>
  </si>
  <si>
    <t>1.fegp4#c.pcoh5</t>
  </si>
  <si>
    <t>2.fegp4#c.pcoh5</t>
  </si>
  <si>
    <t>3.fegp4#c.pcoh5</t>
  </si>
  <si>
    <t>4b.fegp4#co.pcoh5</t>
  </si>
  <si>
    <t>5.fegp4#c.pcoh5</t>
  </si>
  <si>
    <t>_cons</t>
  </si>
  <si>
    <t>b</t>
  </si>
  <si>
    <t>se</t>
  </si>
  <si>
    <t>z</t>
  </si>
  <si>
    <t>pvalue</t>
  </si>
  <si>
    <t>1940s</t>
    <phoneticPr fontId="2"/>
  </si>
  <si>
    <t>1950s</t>
    <phoneticPr fontId="2"/>
  </si>
  <si>
    <t>1960s</t>
  </si>
  <si>
    <t>1970s</t>
  </si>
  <si>
    <t>1980s</t>
  </si>
  <si>
    <t>1990s</t>
  </si>
  <si>
    <t>I+II</t>
    <phoneticPr fontId="2"/>
  </si>
  <si>
    <t>IIIab</t>
    <phoneticPr fontId="2"/>
  </si>
  <si>
    <t>IVab</t>
    <phoneticPr fontId="2"/>
  </si>
  <si>
    <t>V+VI+VIIab</t>
    <phoneticPr fontId="2"/>
  </si>
  <si>
    <t>Univ.</t>
    <phoneticPr fontId="2"/>
  </si>
  <si>
    <t>Jr.col</t>
    <phoneticPr fontId="2"/>
  </si>
  <si>
    <t>High</t>
    <phoneticPr fontId="2"/>
  </si>
  <si>
    <t>Jr.high</t>
    <phoneticPr fontId="2"/>
  </si>
  <si>
    <t>1960s</t>
    <phoneticPr fontId="2"/>
  </si>
  <si>
    <t>1970s</t>
    <phoneticPr fontId="2"/>
  </si>
  <si>
    <t>1980s</t>
    <phoneticPr fontId="2"/>
  </si>
  <si>
    <t>Men</t>
    <phoneticPr fontId="2"/>
  </si>
  <si>
    <t>T1</t>
    <phoneticPr fontId="2"/>
  </si>
  <si>
    <t>lambda</t>
    <phoneticPr fontId="2"/>
  </si>
  <si>
    <t>coefficient</t>
    <phoneticPr fontId="2"/>
  </si>
  <si>
    <t>e^lambda-1</t>
    <phoneticPr fontId="2"/>
  </si>
  <si>
    <t>Effect</t>
    <phoneticPr fontId="2"/>
  </si>
  <si>
    <t>T1</t>
  </si>
  <si>
    <t>R</t>
    <phoneticPr fontId="2"/>
  </si>
  <si>
    <t>At Risk</t>
    <phoneticPr fontId="2"/>
  </si>
  <si>
    <t>D</t>
    <phoneticPr fontId="2"/>
  </si>
  <si>
    <t>Differenciate</t>
    <phoneticPr fontId="2"/>
  </si>
  <si>
    <t>G</t>
    <phoneticPr fontId="2"/>
  </si>
  <si>
    <t>Gain</t>
    <phoneticPr fontId="2"/>
  </si>
  <si>
    <t>Total</t>
    <phoneticPr fontId="2"/>
  </si>
  <si>
    <t>p</t>
    <phoneticPr fontId="2"/>
  </si>
  <si>
    <t>T2</t>
    <phoneticPr fontId="2"/>
  </si>
  <si>
    <t>T2</t>
  </si>
  <si>
    <t>T3</t>
    <phoneticPr fontId="2"/>
  </si>
  <si>
    <t>Expected</t>
    <phoneticPr fontId="2"/>
  </si>
  <si>
    <t>L</t>
    <phoneticPr fontId="2"/>
  </si>
  <si>
    <t>Expected atteinment</t>
    <phoneticPr fontId="2"/>
  </si>
  <si>
    <t>D(L)</t>
    <phoneticPr fontId="2"/>
  </si>
  <si>
    <t>Total Gap</t>
    <phoneticPr fontId="2"/>
  </si>
  <si>
    <t>xb</t>
    <phoneticPr fontId="2"/>
  </si>
  <si>
    <t>p*</t>
    <phoneticPr fontId="2"/>
  </si>
  <si>
    <t>T3</t>
  </si>
  <si>
    <t>Weight</t>
    <phoneticPr fontId="2"/>
  </si>
  <si>
    <t>III:T2</t>
    <phoneticPr fontId="2"/>
  </si>
  <si>
    <t>III:T3</t>
    <phoneticPr fontId="2"/>
  </si>
  <si>
    <t>VI:T1</t>
    <phoneticPr fontId="2"/>
  </si>
  <si>
    <t>VI:T2</t>
    <phoneticPr fontId="2"/>
  </si>
  <si>
    <t>VI:T3</t>
    <phoneticPr fontId="2"/>
  </si>
  <si>
    <t>III:T1</t>
    <phoneticPr fontId="2"/>
  </si>
  <si>
    <t>I+II:T1</t>
    <phoneticPr fontId="2"/>
  </si>
  <si>
    <t>I+II:T2</t>
    <phoneticPr fontId="2"/>
  </si>
  <si>
    <t>I+II:T3</t>
    <phoneticPr fontId="2"/>
  </si>
  <si>
    <t>T1(high school)</t>
    <phoneticPr fontId="2"/>
  </si>
  <si>
    <t>T2(Jr./Tech collage)</t>
    <phoneticPr fontId="2"/>
  </si>
  <si>
    <t>T3(4-year collage/University)</t>
    <phoneticPr fontId="2"/>
  </si>
  <si>
    <t>coef.</t>
    <phoneticPr fontId="2"/>
  </si>
  <si>
    <t>s.e.</t>
    <phoneticPr fontId="2"/>
  </si>
  <si>
    <t>sibs</t>
    <phoneticPr fontId="2"/>
  </si>
  <si>
    <t>father's educ (ref. compulsory)</t>
    <phoneticPr fontId="2"/>
  </si>
  <si>
    <t>Tertially</t>
    <phoneticPr fontId="2"/>
  </si>
  <si>
    <t>Birth cohort (ref. 1940s)</t>
    <phoneticPr fontId="2"/>
  </si>
  <si>
    <t>1980s~</t>
    <phoneticPr fontId="2"/>
  </si>
  <si>
    <t>Father's EGP I+II</t>
    <phoneticPr fontId="2"/>
  </si>
  <si>
    <t>Ivab</t>
    <phoneticPr fontId="2"/>
  </si>
  <si>
    <t>V+VI+VIIab (ref.)</t>
    <phoneticPr fontId="2"/>
  </si>
  <si>
    <t>nojob,abs</t>
    <phoneticPr fontId="2"/>
  </si>
  <si>
    <t>cohort * I+II</t>
    <phoneticPr fontId="2"/>
  </si>
  <si>
    <t>cohort * IIIab</t>
    <phoneticPr fontId="2"/>
  </si>
  <si>
    <t>cohort *Ivab</t>
    <phoneticPr fontId="2"/>
  </si>
  <si>
    <t>cohort *V+VI+VIIab (ref.)</t>
    <phoneticPr fontId="2"/>
  </si>
  <si>
    <t>cohort* nojob,abs</t>
    <phoneticPr fontId="2"/>
  </si>
  <si>
    <t>_cons</t>
    <phoneticPr fontId="2"/>
  </si>
  <si>
    <t>N of First Transition</t>
    <phoneticPr fontId="2"/>
  </si>
  <si>
    <t>N of Second Transition</t>
    <phoneticPr fontId="2"/>
  </si>
  <si>
    <t>Log-likelihood</t>
    <phoneticPr fontId="2"/>
  </si>
  <si>
    <t>BIC</t>
    <phoneticPr fontId="2"/>
  </si>
  <si>
    <t>Sequential Logit regression (Mulieris)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</si>
</sst>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;\-0.000;\-"/>
    <numFmt numFmtId="177" formatCode="0;\-0;\-"/>
    <numFmt numFmtId="178" formatCode="0.000;\-0.000;"/>
    <numFmt numFmtId="179" formatCode="\(0.000\);;"/>
  </numFmts>
  <fonts count="6" x14ac:knownFonts="1">
    <font>
      <sz val="11"/>
      <name val="Calibri"/>
    </font>
    <font>
      <sz val="11"/>
      <name val="Calibri"/>
      <family val="2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UD Digi Kyokasho N-R"/>
      <family val="1"/>
      <charset val="128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3" xfId="0" applyBorder="1"/>
    <xf numFmtId="0" fontId="1" fillId="0" borderId="3" xfId="0" applyFont="1" applyBorder="1"/>
    <xf numFmtId="176" fontId="0" fillId="0" borderId="0" xfId="0" applyNumberFormat="1"/>
    <xf numFmtId="0" fontId="1" fillId="0" borderId="0" xfId="0" applyFont="1" applyAlignment="1">
      <alignment horizontal="left" indent="1"/>
    </xf>
    <xf numFmtId="177" fontId="0" fillId="0" borderId="0" xfId="0" applyNumberFormat="1"/>
    <xf numFmtId="0" fontId="1" fillId="0" borderId="0" xfId="0" applyFont="1" applyAlignment="1">
      <alignment horizontal="left"/>
    </xf>
    <xf numFmtId="0" fontId="0" fillId="0" borderId="4" xfId="0" applyBorder="1"/>
    <xf numFmtId="0" fontId="1" fillId="0" borderId="4" xfId="0" applyFont="1" applyBorder="1"/>
    <xf numFmtId="176" fontId="0" fillId="0" borderId="4" xfId="0" applyNumberFormat="1" applyBorder="1"/>
    <xf numFmtId="176" fontId="0" fillId="0" borderId="3" xfId="0" applyNumberFormat="1" applyBorder="1"/>
    <xf numFmtId="0" fontId="1" fillId="0" borderId="3" xfId="0" applyFont="1" applyBorder="1" applyAlignment="1">
      <alignment horizontal="left"/>
    </xf>
    <xf numFmtId="0" fontId="1" fillId="0" borderId="0" xfId="1"/>
    <xf numFmtId="0" fontId="1" fillId="0" borderId="3" xfId="1" applyBorder="1"/>
    <xf numFmtId="0" fontId="1" fillId="0" borderId="3" xfId="1" applyBorder="1" applyAlignment="1">
      <alignment horizontal="right"/>
    </xf>
    <xf numFmtId="0" fontId="1" fillId="0" borderId="3" xfId="1" applyBorder="1" applyAlignment="1">
      <alignment horizontal="left"/>
    </xf>
    <xf numFmtId="0" fontId="1" fillId="0" borderId="0" xfId="1" applyAlignment="1">
      <alignment horizontal="centerContinuous"/>
    </xf>
    <xf numFmtId="0" fontId="1" fillId="0" borderId="0" xfId="1" applyAlignment="1">
      <alignment horizontal="right"/>
    </xf>
    <xf numFmtId="0" fontId="5" fillId="0" borderId="3" xfId="1" applyFont="1" applyBorder="1" applyAlignment="1">
      <alignment horizontal="right"/>
    </xf>
    <xf numFmtId="0" fontId="5" fillId="0" borderId="3" xfId="1" applyFont="1" applyBorder="1" applyAlignment="1">
      <alignment horizontal="left"/>
    </xf>
    <xf numFmtId="0" fontId="5" fillId="0" borderId="0" xfId="1" applyFont="1" applyAlignment="1">
      <alignment horizontal="right"/>
    </xf>
    <xf numFmtId="178" fontId="5" fillId="0" borderId="0" xfId="1" applyNumberFormat="1" applyFont="1" applyAlignment="1">
      <alignment horizontal="right"/>
    </xf>
    <xf numFmtId="179" fontId="5" fillId="0" borderId="0" xfId="1" applyNumberFormat="1" applyFont="1" applyAlignment="1">
      <alignment horizontal="right"/>
    </xf>
    <xf numFmtId="178" fontId="5" fillId="0" borderId="3" xfId="1" applyNumberFormat="1" applyFont="1" applyBorder="1" applyAlignment="1">
      <alignment horizontal="right"/>
    </xf>
    <xf numFmtId="179" fontId="5" fillId="0" borderId="3" xfId="1" applyNumberFormat="1" applyFont="1" applyBorder="1" applyAlignment="1">
      <alignment horizontal="right"/>
    </xf>
    <xf numFmtId="178" fontId="5" fillId="0" borderId="0" xfId="1" applyNumberFormat="1" applyFont="1" applyAlignment="1">
      <alignment horizontal="left"/>
    </xf>
    <xf numFmtId="178" fontId="5" fillId="0" borderId="3" xfId="1" applyNumberFormat="1" applyFont="1" applyBorder="1" applyAlignment="1">
      <alignment horizontal="left"/>
    </xf>
    <xf numFmtId="0" fontId="1" fillId="0" borderId="0" xfId="1" applyAlignment="1">
      <alignment horizontal="left"/>
    </xf>
  </cellXfs>
  <cellStyles count="2">
    <cellStyle name="標準" xfId="0" builtinId="0"/>
    <cellStyle name="標準 2" xfId="1" xr:uid="{1499FA36-A86D-47B5-AF9D-66AA80EE877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Sheet1!$I$104</c:f>
              <c:strCache>
                <c:ptCount val="1"/>
                <c:pt idx="0">
                  <c:v> T1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Sheet1!$J$104:$O$104</c:f>
              <c:numCache>
                <c:formatCode>General</c:formatCode>
                <c:ptCount val="6"/>
                <c:pt idx="0">
                  <c:v>0.38973644656561046</c:v>
                </c:pt>
                <c:pt idx="1">
                  <c:v>8.9877743123145351E-2</c:v>
                </c:pt>
                <c:pt idx="2">
                  <c:v>2.5993264231500127E-2</c:v>
                </c:pt>
                <c:pt idx="3">
                  <c:v>4.3128612222269123E-2</c:v>
                </c:pt>
                <c:pt idx="4">
                  <c:v>3.9932315800029726E-2</c:v>
                </c:pt>
                <c:pt idx="5">
                  <c:v>3.862629437799503E-2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6-40E8-8882-ED6B6517A2D5}"/>
            </c:ext>
          </c:extLst>
        </c:ser>
        <c:ser>
          <c:idx val="2"/>
          <c:order val="2"/>
          <c:tx>
            <c:strRef>
              <c:f>Sheet1!$I$105</c:f>
              <c:strCache>
                <c:ptCount val="1"/>
                <c:pt idx="0">
                  <c:v> T2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Sheet1!$J$105:$O$105</c:f>
              <c:numCache>
                <c:formatCode>General</c:formatCode>
                <c:ptCount val="6"/>
                <c:pt idx="0">
                  <c:v>-3.6993406279767486E-2</c:v>
                </c:pt>
                <c:pt idx="1">
                  <c:v>-0.2873610294326609</c:v>
                </c:pt>
                <c:pt idx="2">
                  <c:v>-0.30731818880093625</c:v>
                </c:pt>
                <c:pt idx="3">
                  <c:v>-0.41874091547796005</c:v>
                </c:pt>
                <c:pt idx="4">
                  <c:v>-0.41877644411718451</c:v>
                </c:pt>
                <c:pt idx="5">
                  <c:v>-0.38227255826989459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6-40E8-8882-ED6B6517A2D5}"/>
            </c:ext>
          </c:extLst>
        </c:ser>
        <c:ser>
          <c:idx val="3"/>
          <c:order val="3"/>
          <c:tx>
            <c:strRef>
              <c:f>Sheet1!$I$106</c:f>
              <c:strCache>
                <c:ptCount val="1"/>
                <c:pt idx="0">
                  <c:v> T3</c:v>
                </c:pt>
              </c:strCache>
            </c:strRef>
          </c:tx>
          <c:spPr>
            <a:pattFill prst="ltUpDiag">
              <a:fgClr>
                <a:schemeClr val="tx1"/>
              </a:fgClr>
              <a:bgClr>
                <a:schemeClr val="bg1">
                  <a:lumMod val="9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Sheet1!$J$106:$O$106</c:f>
              <c:numCache>
                <c:formatCode>General</c:formatCode>
                <c:ptCount val="6"/>
                <c:pt idx="0">
                  <c:v>0.84347066822817751</c:v>
                </c:pt>
                <c:pt idx="1">
                  <c:v>1.0730569166078632</c:v>
                </c:pt>
                <c:pt idx="2">
                  <c:v>1.1178765665365566</c:v>
                </c:pt>
                <c:pt idx="3">
                  <c:v>1.2296073699892864</c:v>
                </c:pt>
                <c:pt idx="4">
                  <c:v>1.2884705085088561</c:v>
                </c:pt>
                <c:pt idx="5">
                  <c:v>1.3055305640869828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8-4AAA-81A2-D161C587E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39844703"/>
        <c:axId val="839845183"/>
      </c:barChart>
      <c:lineChart>
        <c:grouping val="standard"/>
        <c:varyColors val="0"/>
        <c:ser>
          <c:idx val="0"/>
          <c:order val="0"/>
          <c:tx>
            <c:strRef>
              <c:f>Sheet1!$I$103</c:f>
              <c:strCache>
                <c:ptCount val="1"/>
                <c:pt idx="0">
                  <c:v>D(L)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Sheet1!$J$71:$O$71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Sheet1!$J$103:$O$103</c:f>
              <c:numCache>
                <c:formatCode>General</c:formatCode>
                <c:ptCount val="6"/>
                <c:pt idx="0">
                  <c:v>1.1962137085140205</c:v>
                </c:pt>
                <c:pt idx="1">
                  <c:v>0.87557363029834767</c:v>
                </c:pt>
                <c:pt idx="2">
                  <c:v>0.83655164196712051</c:v>
                </c:pt>
                <c:pt idx="3">
                  <c:v>0.85399506673359549</c:v>
                </c:pt>
                <c:pt idx="4">
                  <c:v>0.90962638019170128</c:v>
                </c:pt>
                <c:pt idx="5">
                  <c:v>0.9618843001950832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6-40E8-8882-ED6B6517A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844703"/>
        <c:axId val="839845183"/>
      </c:lineChart>
      <c:catAx>
        <c:axId val="839844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5183"/>
        <c:crosses val="autoZero"/>
        <c:auto val="1"/>
        <c:lblAlgn val="ctr"/>
        <c:lblOffset val="100"/>
        <c:noMultiLvlLbl val="0"/>
      </c:catAx>
      <c:valAx>
        <c:axId val="839845183"/>
        <c:scaling>
          <c:orientation val="minMax"/>
          <c:max val="2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Sheet1!$H$133</c:f>
              <c:strCache>
                <c:ptCount val="1"/>
                <c:pt idx="0">
                  <c:v>I+II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Sheet1!$I$132:$N$132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Sheet1!$I$133:$N$133</c:f>
              <c:numCache>
                <c:formatCode>General</c:formatCode>
                <c:ptCount val="6"/>
                <c:pt idx="0">
                  <c:v>14.035488273367625</c:v>
                </c:pt>
                <c:pt idx="1">
                  <c:v>14.508602309622702</c:v>
                </c:pt>
                <c:pt idx="2">
                  <c:v>14.57773985454757</c:v>
                </c:pt>
                <c:pt idx="3">
                  <c:v>14.858879887470037</c:v>
                </c:pt>
                <c:pt idx="4">
                  <c:v>15.149222143283314</c:v>
                </c:pt>
                <c:pt idx="5">
                  <c:v>15.201480063286695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2-4655-95F2-3751FD94A6B9}"/>
            </c:ext>
          </c:extLst>
        </c:ser>
        <c:ser>
          <c:idx val="1"/>
          <c:order val="1"/>
          <c:tx>
            <c:strRef>
              <c:f>Sheet1!$H$134</c:f>
              <c:strCache>
                <c:ptCount val="1"/>
                <c:pt idx="0">
                  <c:v>IIIab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prstDash val="lgDash"/>
              <a:round/>
            </a:ln>
            <a:effectLst/>
          </c:spPr>
          <c:marker>
            <c:symbol val="triangle"/>
            <c:size val="7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Sheet1!$I$132:$N$132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Sheet1!$I$134:$N$134</c:f>
              <c:numCache>
                <c:formatCode>General</c:formatCode>
                <c:ptCount val="6"/>
                <c:pt idx="0">
                  <c:v>13.698691460085275</c:v>
                </c:pt>
                <c:pt idx="1">
                  <c:v>14.328137127857385</c:v>
                </c:pt>
                <c:pt idx="2">
                  <c:v>14.411599966673617</c:v>
                </c:pt>
                <c:pt idx="3">
                  <c:v>14.704235974085762</c:v>
                </c:pt>
                <c:pt idx="4">
                  <c:v>14.999565229786072</c:v>
                </c:pt>
                <c:pt idx="5">
                  <c:v>15.046499778925043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32-4655-95F2-3751FD94A6B9}"/>
            </c:ext>
          </c:extLst>
        </c:ser>
        <c:ser>
          <c:idx val="2"/>
          <c:order val="2"/>
          <c:tx>
            <c:strRef>
              <c:f>Sheet1!$H$135</c:f>
              <c:strCache>
                <c:ptCount val="1"/>
                <c:pt idx="0">
                  <c:v>IVab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bg1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Sheet1!$I$132:$N$132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Sheet1!$I$135:$N$135</c:f>
              <c:numCache>
                <c:formatCode>General</c:formatCode>
                <c:ptCount val="6"/>
                <c:pt idx="0">
                  <c:v>13.609761979874172</c:v>
                </c:pt>
                <c:pt idx="1">
                  <c:v>14.167485347389865</c:v>
                </c:pt>
                <c:pt idx="2">
                  <c:v>14.171363150905171</c:v>
                </c:pt>
                <c:pt idx="3">
                  <c:v>14.350103598339814</c:v>
                </c:pt>
                <c:pt idx="4">
                  <c:v>14.532088186822961</c:v>
                </c:pt>
                <c:pt idx="5">
                  <c:v>14.449739128708227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32-4655-95F2-3751FD94A6B9}"/>
            </c:ext>
          </c:extLst>
        </c:ser>
        <c:ser>
          <c:idx val="3"/>
          <c:order val="3"/>
          <c:tx>
            <c:strRef>
              <c:f>Sheet1!$H$136</c:f>
              <c:strCache>
                <c:ptCount val="1"/>
                <c:pt idx="0">
                  <c:v>V+VI+VIIab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Sheet1!$I$132:$N$132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Sheet1!$I$136:$N$136</c:f>
              <c:numCache>
                <c:formatCode>General</c:formatCode>
                <c:ptCount val="6"/>
                <c:pt idx="0">
                  <c:v>12.8392745648536</c:v>
                </c:pt>
                <c:pt idx="1">
                  <c:v>13.633028679324358</c:v>
                </c:pt>
                <c:pt idx="2">
                  <c:v>13.741188212580447</c:v>
                </c:pt>
                <c:pt idx="3">
                  <c:v>14.004884820736438</c:v>
                </c:pt>
                <c:pt idx="4">
                  <c:v>14.239595763091614</c:v>
                </c:pt>
                <c:pt idx="5">
                  <c:v>14.239595763091614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32-4655-95F2-3751FD94A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855743"/>
        <c:axId val="1539344095"/>
      </c:lineChart>
      <c:catAx>
        <c:axId val="1017855743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9344095"/>
        <c:crosses val="autoZero"/>
        <c:auto val="1"/>
        <c:lblAlgn val="ctr"/>
        <c:lblOffset val="100"/>
        <c:noMultiLvlLbl val="0"/>
      </c:catAx>
      <c:valAx>
        <c:axId val="1539344095"/>
        <c:scaling>
          <c:orientation val="minMax"/>
          <c:max val="17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ysDash"/>
              <a:round/>
            </a:ln>
            <a:effectLst/>
          </c:spPr>
        </c:minorGridlines>
        <c:numFmt formatCode="General" sourceLinked="1"/>
        <c:majorTickMark val="cross"/>
        <c:minorTickMark val="cross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7855743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Sheet1!$I$104</c:f>
              <c:strCache>
                <c:ptCount val="1"/>
                <c:pt idx="0">
                  <c:v> T1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Sheet1!$Q$71:$V$71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Sheet1!$Q$104:$V$104</c:f>
              <c:numCache>
                <c:formatCode>General</c:formatCode>
                <c:ptCount val="6"/>
                <c:pt idx="0">
                  <c:v>0.24569938691543225</c:v>
                </c:pt>
                <c:pt idx="1">
                  <c:v>6.5567144964945645E-2</c:v>
                </c:pt>
                <c:pt idx="2">
                  <c:v>2.0953445845347942E-2</c:v>
                </c:pt>
                <c:pt idx="3">
                  <c:v>3.7931823016457811E-2</c:v>
                </c:pt>
                <c:pt idx="4">
                  <c:v>3.8052787472847634E-2</c:v>
                </c:pt>
                <c:pt idx="5">
                  <c:v>3.9724509994639216E-2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6-40E8-8882-ED6B6517A2D5}"/>
            </c:ext>
          </c:extLst>
        </c:ser>
        <c:ser>
          <c:idx val="2"/>
          <c:order val="2"/>
          <c:tx>
            <c:strRef>
              <c:f>Sheet1!$I$105</c:f>
              <c:strCache>
                <c:ptCount val="1"/>
                <c:pt idx="0">
                  <c:v> T2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Sheet1!$Q$71:$V$71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Sheet1!$Q$105:$V$105</c:f>
              <c:numCache>
                <c:formatCode>General</c:formatCode>
                <c:ptCount val="6"/>
                <c:pt idx="0">
                  <c:v>2.8868882061766507E-2</c:v>
                </c:pt>
                <c:pt idx="1">
                  <c:v>-0.12232238387191177</c:v>
                </c:pt>
                <c:pt idx="2">
                  <c:v>-0.13470958435202016</c:v>
                </c:pt>
                <c:pt idx="3">
                  <c:v>-0.20845639162034646</c:v>
                </c:pt>
                <c:pt idx="4">
                  <c:v>-0.21744361739994722</c:v>
                </c:pt>
                <c:pt idx="5">
                  <c:v>-0.19519209110399646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6-40E8-8882-ED6B6517A2D5}"/>
            </c:ext>
          </c:extLst>
        </c:ser>
        <c:ser>
          <c:idx val="3"/>
          <c:order val="3"/>
          <c:tx>
            <c:strRef>
              <c:f>Sheet1!$I$106</c:f>
              <c:strCache>
                <c:ptCount val="1"/>
                <c:pt idx="0">
                  <c:v> T3</c:v>
                </c:pt>
              </c:strCache>
            </c:strRef>
          </c:tx>
          <c:spPr>
            <a:pattFill prst="ltUpDiag">
              <a:fgClr>
                <a:schemeClr val="tx1"/>
              </a:fgClr>
              <a:bgClr>
                <a:schemeClr val="bg1">
                  <a:lumMod val="9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Sheet1!$Q$71:$V$71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Sheet1!$Q$106:$V$106</c:f>
              <c:numCache>
                <c:formatCode>General</c:formatCode>
                <c:ptCount val="6"/>
                <c:pt idx="0">
                  <c:v>0.58484862625447731</c:v>
                </c:pt>
                <c:pt idx="1">
                  <c:v>0.75186368743999366</c:v>
                </c:pt>
                <c:pt idx="2">
                  <c:v>0.78416789259984099</c:v>
                </c:pt>
                <c:pt idx="3">
                  <c:v>0.86987572195321372</c:v>
                </c:pt>
                <c:pt idx="4">
                  <c:v>0.93936029662156184</c:v>
                </c:pt>
                <c:pt idx="5">
                  <c:v>0.9623715969427864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8-4AAA-81A2-D161C587E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39844703"/>
        <c:axId val="839845183"/>
      </c:barChart>
      <c:lineChart>
        <c:grouping val="standard"/>
        <c:varyColors val="0"/>
        <c:ser>
          <c:idx val="0"/>
          <c:order val="0"/>
          <c:tx>
            <c:strRef>
              <c:f>Sheet1!$I$103</c:f>
              <c:strCache>
                <c:ptCount val="1"/>
                <c:pt idx="0">
                  <c:v>D(L)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Sheet1!$Q$71:$V$71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Sheet1!$Q$103:$V$103</c:f>
              <c:numCache>
                <c:formatCode>General</c:formatCode>
                <c:ptCount val="6"/>
                <c:pt idx="0">
                  <c:v>0.85941689523167608</c:v>
                </c:pt>
                <c:pt idx="1">
                  <c:v>0.69510844853302756</c:v>
                </c:pt>
                <c:pt idx="2">
                  <c:v>0.67041175409316878</c:v>
                </c:pt>
                <c:pt idx="3">
                  <c:v>0.69935115334932507</c:v>
                </c:pt>
                <c:pt idx="4">
                  <c:v>0.7599694666944623</c:v>
                </c:pt>
                <c:pt idx="5">
                  <c:v>0.80690401583342919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6-40E8-8882-ED6B6517A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844703"/>
        <c:axId val="839845183"/>
      </c:lineChart>
      <c:catAx>
        <c:axId val="83984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5183"/>
        <c:crosses val="autoZero"/>
        <c:auto val="1"/>
        <c:lblAlgn val="ctr"/>
        <c:lblOffset val="100"/>
        <c:noMultiLvlLbl val="0"/>
      </c:catAx>
      <c:valAx>
        <c:axId val="839845183"/>
        <c:scaling>
          <c:orientation val="minMax"/>
          <c:max val="2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Sheet1!$I$104</c:f>
              <c:strCache>
                <c:ptCount val="1"/>
                <c:pt idx="0">
                  <c:v> T1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Sheet1!$X$71:$AC$71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Sheet1!$X$104:$AC$104</c:f>
              <c:numCache>
                <c:formatCode>General</c:formatCode>
                <c:ptCount val="6"/>
                <c:pt idx="0">
                  <c:v>0.18249786688478559</c:v>
                </c:pt>
                <c:pt idx="1">
                  <c:v>2.8612153706225548E-2</c:v>
                </c:pt>
                <c:pt idx="2">
                  <c:v>2.5321610979142741E-3</c:v>
                </c:pt>
                <c:pt idx="3">
                  <c:v>-8.5839318405421007E-3</c:v>
                </c:pt>
                <c:pt idx="4">
                  <c:v>-2.3856044274286278E-2</c:v>
                </c:pt>
                <c:pt idx="5">
                  <c:v>-4.376600341823874E-2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6-40E8-8882-ED6B6517A2D5}"/>
            </c:ext>
          </c:extLst>
        </c:ser>
        <c:ser>
          <c:idx val="2"/>
          <c:order val="2"/>
          <c:tx>
            <c:strRef>
              <c:f>Sheet1!$I$105</c:f>
              <c:strCache>
                <c:ptCount val="1"/>
                <c:pt idx="0">
                  <c:v> T2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Sheet1!$X$71:$AC$71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Sheet1!$X$105:$AC$105</c:f>
              <c:numCache>
                <c:formatCode>General</c:formatCode>
                <c:ptCount val="6"/>
                <c:pt idx="0">
                  <c:v>3.4332583616901835E-2</c:v>
                </c:pt>
                <c:pt idx="1">
                  <c:v>-6.5604034023844918E-2</c:v>
                </c:pt>
                <c:pt idx="2">
                  <c:v>-4.0020047764140858E-2</c:v>
                </c:pt>
                <c:pt idx="3">
                  <c:v>-5.1149043040214184E-2</c:v>
                </c:pt>
                <c:pt idx="4">
                  <c:v>-2.7431988866400948E-2</c:v>
                </c:pt>
                <c:pt idx="5">
                  <c:v>4.0263994547764014E-3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6-40E8-8882-ED6B6517A2D5}"/>
            </c:ext>
          </c:extLst>
        </c:ser>
        <c:ser>
          <c:idx val="3"/>
          <c:order val="3"/>
          <c:tx>
            <c:strRef>
              <c:f>Sheet1!$I$106</c:f>
              <c:strCache>
                <c:ptCount val="1"/>
                <c:pt idx="0">
                  <c:v> T3</c:v>
                </c:pt>
              </c:strCache>
            </c:strRef>
          </c:tx>
          <c:spPr>
            <a:pattFill prst="ltUpDiag">
              <a:fgClr>
                <a:schemeClr val="tx1"/>
              </a:fgClr>
              <a:bgClr>
                <a:schemeClr val="bg1">
                  <a:lumMod val="9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Sheet1!$X$71:$AC$71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Sheet1!$X$106:$AC$106</c:f>
              <c:numCache>
                <c:formatCode>General</c:formatCode>
                <c:ptCount val="6"/>
                <c:pt idx="0">
                  <c:v>0.55365696451888513</c:v>
                </c:pt>
                <c:pt idx="1">
                  <c:v>0.57144854838312475</c:v>
                </c:pt>
                <c:pt idx="2">
                  <c:v>0.46766282499095035</c:v>
                </c:pt>
                <c:pt idx="3">
                  <c:v>0.40495175248413029</c:v>
                </c:pt>
                <c:pt idx="4">
                  <c:v>0.3437804568720344</c:v>
                </c:pt>
                <c:pt idx="5">
                  <c:v>0.24988296958007802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8-4AAA-81A2-D161C587E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39844703"/>
        <c:axId val="839845183"/>
      </c:barChart>
      <c:lineChart>
        <c:grouping val="standard"/>
        <c:varyColors val="0"/>
        <c:ser>
          <c:idx val="0"/>
          <c:order val="0"/>
          <c:tx>
            <c:strRef>
              <c:f>Sheet1!$I$103</c:f>
              <c:strCache>
                <c:ptCount val="1"/>
                <c:pt idx="0">
                  <c:v>D(L)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Sheet1!$X$71:$AC$71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Sheet1!$X$103:$AC$103</c:f>
              <c:numCache>
                <c:formatCode>General</c:formatCode>
                <c:ptCount val="6"/>
                <c:pt idx="0">
                  <c:v>0.7704874150205725</c:v>
                </c:pt>
                <c:pt idx="1">
                  <c:v>0.5344566680655054</c:v>
                </c:pt>
                <c:pt idx="2">
                  <c:v>0.43017493832472375</c:v>
                </c:pt>
                <c:pt idx="3">
                  <c:v>0.34521877760337399</c:v>
                </c:pt>
                <c:pt idx="4">
                  <c:v>0.29249242373134721</c:v>
                </c:pt>
                <c:pt idx="5">
                  <c:v>0.21014336561661567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6-40E8-8882-ED6B6517A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844703"/>
        <c:axId val="839845183"/>
      </c:lineChart>
      <c:catAx>
        <c:axId val="83984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5183"/>
        <c:crosses val="autoZero"/>
        <c:auto val="1"/>
        <c:lblAlgn val="ctr"/>
        <c:lblOffset val="100"/>
        <c:noMultiLvlLbl val="0"/>
      </c:catAx>
      <c:valAx>
        <c:axId val="839845183"/>
        <c:scaling>
          <c:orientation val="minMax"/>
          <c:max val="2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Sheet2!$H$40</c:f>
              <c:strCache>
                <c:ptCount val="1"/>
                <c:pt idx="0">
                  <c:v>I+II:T1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headEnd w="lg" len="lg"/>
              <a:tailEnd type="triangle" w="lg" len="med"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Sheet2!$G$41:$G$76</c:f>
              <c:numCache>
                <c:formatCode>0.000;\-0.000;\-</c:formatCode>
                <c:ptCount val="36"/>
                <c:pt idx="0">
                  <c:v>1.1093131625702045E-2</c:v>
                </c:pt>
                <c:pt idx="1">
                  <c:v>3.8420031092371303E-3</c:v>
                </c:pt>
                <c:pt idx="2">
                  <c:v>7.66696350895444E-3</c:v>
                </c:pt>
                <c:pt idx="3">
                  <c:v>8.5831678415283757E-3</c:v>
                </c:pt>
                <c:pt idx="4">
                  <c:v>-0.19969947062191312</c:v>
                </c:pt>
                <c:pt idx="5">
                  <c:v>-0.2394931151012942</c:v>
                </c:pt>
                <c:pt idx="6">
                  <c:v>-0.36816086659123126</c:v>
                </c:pt>
                <c:pt idx="7">
                  <c:v>-0.4184076356107112</c:v>
                </c:pt>
                <c:pt idx="8">
                  <c:v>0.34780600336263678</c:v>
                </c:pt>
                <c:pt idx="9">
                  <c:v>0.33318317224165611</c:v>
                </c:pt>
                <c:pt idx="10">
                  <c:v>0.33753527687674306</c:v>
                </c:pt>
                <c:pt idx="11">
                  <c:v>0.32622209164420601</c:v>
                </c:pt>
                <c:pt idx="12">
                  <c:v>3.3409369245558901E-2</c:v>
                </c:pt>
                <c:pt idx="13">
                  <c:v>8.3900572417244471E-3</c:v>
                </c:pt>
                <c:pt idx="14">
                  <c:v>1.2123207450231849E-2</c:v>
                </c:pt>
                <c:pt idx="15">
                  <c:v>9.8218172868532704E-3</c:v>
                </c:pt>
                <c:pt idx="16">
                  <c:v>-0.13939837460647447</c:v>
                </c:pt>
                <c:pt idx="17">
                  <c:v>-0.17301661832986051</c:v>
                </c:pt>
                <c:pt idx="18">
                  <c:v>-0.30436252856941937</c:v>
                </c:pt>
                <c:pt idx="19">
                  <c:v>-0.36475693717694019</c:v>
                </c:pt>
                <c:pt idx="20">
                  <c:v>0.38370157599647375</c:v>
                </c:pt>
                <c:pt idx="21">
                  <c:v>0.37091838760665652</c:v>
                </c:pt>
                <c:pt idx="22">
                  <c:v>0.38205601407403172</c:v>
                </c:pt>
                <c:pt idx="23">
                  <c:v>0.38372076126947335</c:v>
                </c:pt>
                <c:pt idx="24">
                  <c:v>6.8439277976806323E-2</c:v>
                </c:pt>
                <c:pt idx="25">
                  <c:v>2.6068763691503311E-2</c:v>
                </c:pt>
                <c:pt idx="26">
                  <c:v>5.6784795649167462E-2</c:v>
                </c:pt>
                <c:pt idx="27">
                  <c:v>6.949614130097552E-2</c:v>
                </c:pt>
                <c:pt idx="28">
                  <c:v>-9.1825027915339169E-2</c:v>
                </c:pt>
                <c:pt idx="29">
                  <c:v>-8.159875578191321E-2</c:v>
                </c:pt>
                <c:pt idx="30">
                  <c:v>-0.1729655198869606</c:v>
                </c:pt>
                <c:pt idx="31">
                  <c:v>-0.21697513731588636</c:v>
                </c:pt>
                <c:pt idx="32">
                  <c:v>0.41114877238715031</c:v>
                </c:pt>
                <c:pt idx="33">
                  <c:v>0.42225668796489435</c:v>
                </c:pt>
                <c:pt idx="34">
                  <c:v>0.47167512834252956</c:v>
                </c:pt>
                <c:pt idx="35">
                  <c:v>0.53802787146880204</c:v>
                </c:pt>
              </c:numCache>
            </c:numRef>
          </c:xVal>
          <c:yVal>
            <c:numRef>
              <c:f>Sheet2!$H$41:$H$76</c:f>
              <c:numCache>
                <c:formatCode>0.000;\-0.000;\-</c:formatCode>
                <c:ptCount val="36"/>
                <c:pt idx="0">
                  <c:v>8.1021073359397118</c:v>
                </c:pt>
                <c:pt idx="1">
                  <c:v>6.7655500249351341</c:v>
                </c:pt>
                <c:pt idx="2">
                  <c:v>5.6252533577208403</c:v>
                </c:pt>
                <c:pt idx="3">
                  <c:v>4.6523983379217144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5-478E-B650-EF3E1E7F2223}"/>
            </c:ext>
          </c:extLst>
        </c:ser>
        <c:ser>
          <c:idx val="1"/>
          <c:order val="1"/>
          <c:tx>
            <c:strRef>
              <c:f>Sheet2!$I$40</c:f>
              <c:strCache>
                <c:ptCount val="1"/>
                <c:pt idx="0">
                  <c:v>I+II:T2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  <a:tailEnd type="triangle" w="lg" len="med"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Sheet2!$G$41:$G$76</c:f>
              <c:numCache>
                <c:formatCode>0.000;\-0.000;\-</c:formatCode>
                <c:ptCount val="36"/>
                <c:pt idx="0">
                  <c:v>1.1093131625702045E-2</c:v>
                </c:pt>
                <c:pt idx="1">
                  <c:v>3.8420031092371303E-3</c:v>
                </c:pt>
                <c:pt idx="2">
                  <c:v>7.66696350895444E-3</c:v>
                </c:pt>
                <c:pt idx="3">
                  <c:v>8.5831678415283757E-3</c:v>
                </c:pt>
                <c:pt idx="4">
                  <c:v>-0.19969947062191312</c:v>
                </c:pt>
                <c:pt idx="5">
                  <c:v>-0.2394931151012942</c:v>
                </c:pt>
                <c:pt idx="6">
                  <c:v>-0.36816086659123126</c:v>
                </c:pt>
                <c:pt idx="7">
                  <c:v>-0.4184076356107112</c:v>
                </c:pt>
                <c:pt idx="8">
                  <c:v>0.34780600336263678</c:v>
                </c:pt>
                <c:pt idx="9">
                  <c:v>0.33318317224165611</c:v>
                </c:pt>
                <c:pt idx="10">
                  <c:v>0.33753527687674306</c:v>
                </c:pt>
                <c:pt idx="11">
                  <c:v>0.32622209164420601</c:v>
                </c:pt>
                <c:pt idx="12">
                  <c:v>3.3409369245558901E-2</c:v>
                </c:pt>
                <c:pt idx="13">
                  <c:v>8.3900572417244471E-3</c:v>
                </c:pt>
                <c:pt idx="14">
                  <c:v>1.2123207450231849E-2</c:v>
                </c:pt>
                <c:pt idx="15">
                  <c:v>9.8218172868532704E-3</c:v>
                </c:pt>
                <c:pt idx="16">
                  <c:v>-0.13939837460647447</c:v>
                </c:pt>
                <c:pt idx="17">
                  <c:v>-0.17301661832986051</c:v>
                </c:pt>
                <c:pt idx="18">
                  <c:v>-0.30436252856941937</c:v>
                </c:pt>
                <c:pt idx="19">
                  <c:v>-0.36475693717694019</c:v>
                </c:pt>
                <c:pt idx="20">
                  <c:v>0.38370157599647375</c:v>
                </c:pt>
                <c:pt idx="21">
                  <c:v>0.37091838760665652</c:v>
                </c:pt>
                <c:pt idx="22">
                  <c:v>0.38205601407403172</c:v>
                </c:pt>
                <c:pt idx="23">
                  <c:v>0.38372076126947335</c:v>
                </c:pt>
                <c:pt idx="24">
                  <c:v>6.8439277976806323E-2</c:v>
                </c:pt>
                <c:pt idx="25">
                  <c:v>2.6068763691503311E-2</c:v>
                </c:pt>
                <c:pt idx="26">
                  <c:v>5.6784795649167462E-2</c:v>
                </c:pt>
                <c:pt idx="27">
                  <c:v>6.949614130097552E-2</c:v>
                </c:pt>
                <c:pt idx="28">
                  <c:v>-9.1825027915339169E-2</c:v>
                </c:pt>
                <c:pt idx="29">
                  <c:v>-8.159875578191321E-2</c:v>
                </c:pt>
                <c:pt idx="30">
                  <c:v>-0.1729655198869606</c:v>
                </c:pt>
                <c:pt idx="31">
                  <c:v>-0.21697513731588636</c:v>
                </c:pt>
                <c:pt idx="32">
                  <c:v>0.41114877238715031</c:v>
                </c:pt>
                <c:pt idx="33">
                  <c:v>0.42225668796489435</c:v>
                </c:pt>
                <c:pt idx="34">
                  <c:v>0.47167512834252956</c:v>
                </c:pt>
                <c:pt idx="35">
                  <c:v>0.53802787146880204</c:v>
                </c:pt>
              </c:numCache>
            </c:numRef>
          </c:xVal>
          <c:yVal>
            <c:numRef>
              <c:f>Sheet2!$I$41:$I$76</c:f>
              <c:numCache>
                <c:formatCode>General</c:formatCode>
                <c:ptCount val="36"/>
                <c:pt idx="4" formatCode="0.000;\-0.000;\-">
                  <c:v>1.4389674070629641</c:v>
                </c:pt>
                <c:pt idx="5" formatCode="0.000;\-0.000;\-">
                  <c:v>1.2832026034274735</c:v>
                </c:pt>
                <c:pt idx="6" formatCode="0.000;\-0.000;\-">
                  <c:v>1.1373857285676365</c:v>
                </c:pt>
                <c:pt idx="7" formatCode="0.000;\-0.000;\-">
                  <c:v>1.0008814573996361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55-478E-B650-EF3E1E7F2223}"/>
            </c:ext>
          </c:extLst>
        </c:ser>
        <c:ser>
          <c:idx val="2"/>
          <c:order val="2"/>
          <c:tx>
            <c:strRef>
              <c:f>Sheet2!$J$40</c:f>
              <c:strCache>
                <c:ptCount val="1"/>
                <c:pt idx="0">
                  <c:v>I+II:T3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tailEnd type="triangle" w="lg" len="med"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Sheet2!$G$41:$G$76</c:f>
              <c:numCache>
                <c:formatCode>0.000;\-0.000;\-</c:formatCode>
                <c:ptCount val="36"/>
                <c:pt idx="0">
                  <c:v>1.1093131625702045E-2</c:v>
                </c:pt>
                <c:pt idx="1">
                  <c:v>3.8420031092371303E-3</c:v>
                </c:pt>
                <c:pt idx="2">
                  <c:v>7.66696350895444E-3</c:v>
                </c:pt>
                <c:pt idx="3">
                  <c:v>8.5831678415283757E-3</c:v>
                </c:pt>
                <c:pt idx="4">
                  <c:v>-0.19969947062191312</c:v>
                </c:pt>
                <c:pt idx="5">
                  <c:v>-0.2394931151012942</c:v>
                </c:pt>
                <c:pt idx="6">
                  <c:v>-0.36816086659123126</c:v>
                </c:pt>
                <c:pt idx="7">
                  <c:v>-0.4184076356107112</c:v>
                </c:pt>
                <c:pt idx="8">
                  <c:v>0.34780600336263678</c:v>
                </c:pt>
                <c:pt idx="9">
                  <c:v>0.33318317224165611</c:v>
                </c:pt>
                <c:pt idx="10">
                  <c:v>0.33753527687674306</c:v>
                </c:pt>
                <c:pt idx="11">
                  <c:v>0.32622209164420601</c:v>
                </c:pt>
                <c:pt idx="12">
                  <c:v>3.3409369245558901E-2</c:v>
                </c:pt>
                <c:pt idx="13">
                  <c:v>8.3900572417244471E-3</c:v>
                </c:pt>
                <c:pt idx="14">
                  <c:v>1.2123207450231849E-2</c:v>
                </c:pt>
                <c:pt idx="15">
                  <c:v>9.8218172868532704E-3</c:v>
                </c:pt>
                <c:pt idx="16">
                  <c:v>-0.13939837460647447</c:v>
                </c:pt>
                <c:pt idx="17">
                  <c:v>-0.17301661832986051</c:v>
                </c:pt>
                <c:pt idx="18">
                  <c:v>-0.30436252856941937</c:v>
                </c:pt>
                <c:pt idx="19">
                  <c:v>-0.36475693717694019</c:v>
                </c:pt>
                <c:pt idx="20">
                  <c:v>0.38370157599647375</c:v>
                </c:pt>
                <c:pt idx="21">
                  <c:v>0.37091838760665652</c:v>
                </c:pt>
                <c:pt idx="22">
                  <c:v>0.38205601407403172</c:v>
                </c:pt>
                <c:pt idx="23">
                  <c:v>0.38372076126947335</c:v>
                </c:pt>
                <c:pt idx="24">
                  <c:v>6.8439277976806323E-2</c:v>
                </c:pt>
                <c:pt idx="25">
                  <c:v>2.6068763691503311E-2</c:v>
                </c:pt>
                <c:pt idx="26">
                  <c:v>5.6784795649167462E-2</c:v>
                </c:pt>
                <c:pt idx="27">
                  <c:v>6.949614130097552E-2</c:v>
                </c:pt>
                <c:pt idx="28">
                  <c:v>-9.1825027915339169E-2</c:v>
                </c:pt>
                <c:pt idx="29">
                  <c:v>-8.159875578191321E-2</c:v>
                </c:pt>
                <c:pt idx="30">
                  <c:v>-0.1729655198869606</c:v>
                </c:pt>
                <c:pt idx="31">
                  <c:v>-0.21697513731588636</c:v>
                </c:pt>
                <c:pt idx="32">
                  <c:v>0.41114877238715031</c:v>
                </c:pt>
                <c:pt idx="33">
                  <c:v>0.42225668796489435</c:v>
                </c:pt>
                <c:pt idx="34">
                  <c:v>0.47167512834252956</c:v>
                </c:pt>
                <c:pt idx="35">
                  <c:v>0.53802787146880204</c:v>
                </c:pt>
              </c:numCache>
            </c:numRef>
          </c:xVal>
          <c:yVal>
            <c:numRef>
              <c:f>Sheet2!$J$41:$J$76</c:f>
              <c:numCache>
                <c:formatCode>General</c:formatCode>
                <c:ptCount val="36"/>
                <c:pt idx="8" formatCode="0.000;\-0.000;\-">
                  <c:v>3.0852167766898786</c:v>
                </c:pt>
                <c:pt idx="9" formatCode="0.000;\-0.000;\-">
                  <c:v>3.3551411345761677</c:v>
                </c:pt>
                <c:pt idx="10" formatCode="0.000;\-0.000;\-">
                  <c:v>3.6429003254622749</c:v>
                </c:pt>
                <c:pt idx="11" formatCode="0.000;\-0.000;\-">
                  <c:v>3.9496727582573588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55-478E-B650-EF3E1E7F2223}"/>
            </c:ext>
          </c:extLst>
        </c:ser>
        <c:ser>
          <c:idx val="3"/>
          <c:order val="3"/>
          <c:tx>
            <c:strRef>
              <c:f>Sheet2!$K$40</c:f>
              <c:strCache>
                <c:ptCount val="1"/>
                <c:pt idx="0">
                  <c:v>III:T1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tailEnd type="triangle" w="lg" len="med"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Sheet2!$G$41:$G$76</c:f>
              <c:numCache>
                <c:formatCode>0.000;\-0.000;\-</c:formatCode>
                <c:ptCount val="36"/>
                <c:pt idx="0">
                  <c:v>1.1093131625702045E-2</c:v>
                </c:pt>
                <c:pt idx="1">
                  <c:v>3.8420031092371303E-3</c:v>
                </c:pt>
                <c:pt idx="2">
                  <c:v>7.66696350895444E-3</c:v>
                </c:pt>
                <c:pt idx="3">
                  <c:v>8.5831678415283757E-3</c:v>
                </c:pt>
                <c:pt idx="4">
                  <c:v>-0.19969947062191312</c:v>
                </c:pt>
                <c:pt idx="5">
                  <c:v>-0.2394931151012942</c:v>
                </c:pt>
                <c:pt idx="6">
                  <c:v>-0.36816086659123126</c:v>
                </c:pt>
                <c:pt idx="7">
                  <c:v>-0.4184076356107112</c:v>
                </c:pt>
                <c:pt idx="8">
                  <c:v>0.34780600336263678</c:v>
                </c:pt>
                <c:pt idx="9">
                  <c:v>0.33318317224165611</c:v>
                </c:pt>
                <c:pt idx="10">
                  <c:v>0.33753527687674306</c:v>
                </c:pt>
                <c:pt idx="11">
                  <c:v>0.32622209164420601</c:v>
                </c:pt>
                <c:pt idx="12">
                  <c:v>3.3409369245558901E-2</c:v>
                </c:pt>
                <c:pt idx="13">
                  <c:v>8.3900572417244471E-3</c:v>
                </c:pt>
                <c:pt idx="14">
                  <c:v>1.2123207450231849E-2</c:v>
                </c:pt>
                <c:pt idx="15">
                  <c:v>9.8218172868532704E-3</c:v>
                </c:pt>
                <c:pt idx="16">
                  <c:v>-0.13939837460647447</c:v>
                </c:pt>
                <c:pt idx="17">
                  <c:v>-0.17301661832986051</c:v>
                </c:pt>
                <c:pt idx="18">
                  <c:v>-0.30436252856941937</c:v>
                </c:pt>
                <c:pt idx="19">
                  <c:v>-0.36475693717694019</c:v>
                </c:pt>
                <c:pt idx="20">
                  <c:v>0.38370157599647375</c:v>
                </c:pt>
                <c:pt idx="21">
                  <c:v>0.37091838760665652</c:v>
                </c:pt>
                <c:pt idx="22">
                  <c:v>0.38205601407403172</c:v>
                </c:pt>
                <c:pt idx="23">
                  <c:v>0.38372076126947335</c:v>
                </c:pt>
                <c:pt idx="24">
                  <c:v>6.8439277976806323E-2</c:v>
                </c:pt>
                <c:pt idx="25">
                  <c:v>2.6068763691503311E-2</c:v>
                </c:pt>
                <c:pt idx="26">
                  <c:v>5.6784795649167462E-2</c:v>
                </c:pt>
                <c:pt idx="27">
                  <c:v>6.949614130097552E-2</c:v>
                </c:pt>
                <c:pt idx="28">
                  <c:v>-9.1825027915339169E-2</c:v>
                </c:pt>
                <c:pt idx="29">
                  <c:v>-8.159875578191321E-2</c:v>
                </c:pt>
                <c:pt idx="30">
                  <c:v>-0.1729655198869606</c:v>
                </c:pt>
                <c:pt idx="31">
                  <c:v>-0.21697513731588636</c:v>
                </c:pt>
                <c:pt idx="32">
                  <c:v>0.41114877238715031</c:v>
                </c:pt>
                <c:pt idx="33">
                  <c:v>0.42225668796489435</c:v>
                </c:pt>
                <c:pt idx="34">
                  <c:v>0.47167512834252956</c:v>
                </c:pt>
                <c:pt idx="35">
                  <c:v>0.53802787146880204</c:v>
                </c:pt>
              </c:numCache>
            </c:numRef>
          </c:xVal>
          <c:yVal>
            <c:numRef>
              <c:f>Sheet2!$K$41:$K$76</c:f>
              <c:numCache>
                <c:formatCode>General</c:formatCode>
                <c:ptCount val="36"/>
                <c:pt idx="12" formatCode="0.000;\-0.000;\-">
                  <c:v>1.9625376487364088</c:v>
                </c:pt>
                <c:pt idx="13" formatCode="0.000;\-0.000;\-">
                  <c:v>2.4974139319508724</c:v>
                </c:pt>
                <c:pt idx="14" formatCode="0.000;\-0.000;\-">
                  <c:v>3.1288603426259431</c:v>
                </c:pt>
                <c:pt idx="15" formatCode="0.000;\-0.000;\-">
                  <c:v>3.8743122949133024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55-478E-B650-EF3E1E7F2223}"/>
            </c:ext>
          </c:extLst>
        </c:ser>
        <c:ser>
          <c:idx val="4"/>
          <c:order val="4"/>
          <c:tx>
            <c:strRef>
              <c:f>Sheet2!$L$40</c:f>
              <c:strCache>
                <c:ptCount val="1"/>
                <c:pt idx="0">
                  <c:v>III:T2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  <a:tailEnd type="triangle" w="lg" len="med"/>
            </a:ln>
            <a:effectLst/>
          </c:spPr>
          <c:marker>
            <c:symbol val="triang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Sheet2!$G$41:$G$76</c:f>
              <c:numCache>
                <c:formatCode>0.000;\-0.000;\-</c:formatCode>
                <c:ptCount val="36"/>
                <c:pt idx="0">
                  <c:v>1.1093131625702045E-2</c:v>
                </c:pt>
                <c:pt idx="1">
                  <c:v>3.8420031092371303E-3</c:v>
                </c:pt>
                <c:pt idx="2">
                  <c:v>7.66696350895444E-3</c:v>
                </c:pt>
                <c:pt idx="3">
                  <c:v>8.5831678415283757E-3</c:v>
                </c:pt>
                <c:pt idx="4">
                  <c:v>-0.19969947062191312</c:v>
                </c:pt>
                <c:pt idx="5">
                  <c:v>-0.2394931151012942</c:v>
                </c:pt>
                <c:pt idx="6">
                  <c:v>-0.36816086659123126</c:v>
                </c:pt>
                <c:pt idx="7">
                  <c:v>-0.4184076356107112</c:v>
                </c:pt>
                <c:pt idx="8">
                  <c:v>0.34780600336263678</c:v>
                </c:pt>
                <c:pt idx="9">
                  <c:v>0.33318317224165611</c:v>
                </c:pt>
                <c:pt idx="10">
                  <c:v>0.33753527687674306</c:v>
                </c:pt>
                <c:pt idx="11">
                  <c:v>0.32622209164420601</c:v>
                </c:pt>
                <c:pt idx="12">
                  <c:v>3.3409369245558901E-2</c:v>
                </c:pt>
                <c:pt idx="13">
                  <c:v>8.3900572417244471E-3</c:v>
                </c:pt>
                <c:pt idx="14">
                  <c:v>1.2123207450231849E-2</c:v>
                </c:pt>
                <c:pt idx="15">
                  <c:v>9.8218172868532704E-3</c:v>
                </c:pt>
                <c:pt idx="16">
                  <c:v>-0.13939837460647447</c:v>
                </c:pt>
                <c:pt idx="17">
                  <c:v>-0.17301661832986051</c:v>
                </c:pt>
                <c:pt idx="18">
                  <c:v>-0.30436252856941937</c:v>
                </c:pt>
                <c:pt idx="19">
                  <c:v>-0.36475693717694019</c:v>
                </c:pt>
                <c:pt idx="20">
                  <c:v>0.38370157599647375</c:v>
                </c:pt>
                <c:pt idx="21">
                  <c:v>0.37091838760665652</c:v>
                </c:pt>
                <c:pt idx="22">
                  <c:v>0.38205601407403172</c:v>
                </c:pt>
                <c:pt idx="23">
                  <c:v>0.38372076126947335</c:v>
                </c:pt>
                <c:pt idx="24">
                  <c:v>6.8439277976806323E-2</c:v>
                </c:pt>
                <c:pt idx="25">
                  <c:v>2.6068763691503311E-2</c:v>
                </c:pt>
                <c:pt idx="26">
                  <c:v>5.6784795649167462E-2</c:v>
                </c:pt>
                <c:pt idx="27">
                  <c:v>6.949614130097552E-2</c:v>
                </c:pt>
                <c:pt idx="28">
                  <c:v>-9.1825027915339169E-2</c:v>
                </c:pt>
                <c:pt idx="29">
                  <c:v>-8.159875578191321E-2</c:v>
                </c:pt>
                <c:pt idx="30">
                  <c:v>-0.1729655198869606</c:v>
                </c:pt>
                <c:pt idx="31">
                  <c:v>-0.21697513731588636</c:v>
                </c:pt>
                <c:pt idx="32">
                  <c:v>0.41114877238715031</c:v>
                </c:pt>
                <c:pt idx="33">
                  <c:v>0.42225668796489435</c:v>
                </c:pt>
                <c:pt idx="34">
                  <c:v>0.47167512834252956</c:v>
                </c:pt>
                <c:pt idx="35">
                  <c:v>0.53802787146880204</c:v>
                </c:pt>
              </c:numCache>
            </c:numRef>
          </c:xVal>
          <c:yVal>
            <c:numRef>
              <c:f>Sheet2!$L$41:$L$76</c:f>
              <c:numCache>
                <c:formatCode>General</c:formatCode>
                <c:ptCount val="36"/>
                <c:pt idx="16" formatCode="0.000;\-0.000;\-">
                  <c:v>0.87750222495227304</c:v>
                </c:pt>
                <c:pt idx="17" formatCode="0.000;\-0.000;\-">
                  <c:v>0.77859332619247579</c:v>
                </c:pt>
                <c:pt idx="18" formatCode="0.000;\-0.000;\-">
                  <c:v>0.68489505787767002</c:v>
                </c:pt>
                <c:pt idx="19" formatCode="0.000;\-0.000;\-">
                  <c:v>0.59613291821909153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55-478E-B650-EF3E1E7F2223}"/>
            </c:ext>
          </c:extLst>
        </c:ser>
        <c:ser>
          <c:idx val="5"/>
          <c:order val="5"/>
          <c:tx>
            <c:strRef>
              <c:f>Sheet2!$M$40</c:f>
              <c:strCache>
                <c:ptCount val="1"/>
                <c:pt idx="0">
                  <c:v>III:T3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tailEnd type="triangle" w="lg" len="med"/>
            </a:ln>
            <a:effectLst/>
          </c:spPr>
          <c:marker>
            <c:symbol val="triangle"/>
            <c:size val="7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Sheet2!$G$41:$G$76</c:f>
              <c:numCache>
                <c:formatCode>0.000;\-0.000;\-</c:formatCode>
                <c:ptCount val="36"/>
                <c:pt idx="0">
                  <c:v>1.1093131625702045E-2</c:v>
                </c:pt>
                <c:pt idx="1">
                  <c:v>3.8420031092371303E-3</c:v>
                </c:pt>
                <c:pt idx="2">
                  <c:v>7.66696350895444E-3</c:v>
                </c:pt>
                <c:pt idx="3">
                  <c:v>8.5831678415283757E-3</c:v>
                </c:pt>
                <c:pt idx="4">
                  <c:v>-0.19969947062191312</c:v>
                </c:pt>
                <c:pt idx="5">
                  <c:v>-0.2394931151012942</c:v>
                </c:pt>
                <c:pt idx="6">
                  <c:v>-0.36816086659123126</c:v>
                </c:pt>
                <c:pt idx="7">
                  <c:v>-0.4184076356107112</c:v>
                </c:pt>
                <c:pt idx="8">
                  <c:v>0.34780600336263678</c:v>
                </c:pt>
                <c:pt idx="9">
                  <c:v>0.33318317224165611</c:v>
                </c:pt>
                <c:pt idx="10">
                  <c:v>0.33753527687674306</c:v>
                </c:pt>
                <c:pt idx="11">
                  <c:v>0.32622209164420601</c:v>
                </c:pt>
                <c:pt idx="12">
                  <c:v>3.3409369245558901E-2</c:v>
                </c:pt>
                <c:pt idx="13">
                  <c:v>8.3900572417244471E-3</c:v>
                </c:pt>
                <c:pt idx="14">
                  <c:v>1.2123207450231849E-2</c:v>
                </c:pt>
                <c:pt idx="15">
                  <c:v>9.8218172868532704E-3</c:v>
                </c:pt>
                <c:pt idx="16">
                  <c:v>-0.13939837460647447</c:v>
                </c:pt>
                <c:pt idx="17">
                  <c:v>-0.17301661832986051</c:v>
                </c:pt>
                <c:pt idx="18">
                  <c:v>-0.30436252856941937</c:v>
                </c:pt>
                <c:pt idx="19">
                  <c:v>-0.36475693717694019</c:v>
                </c:pt>
                <c:pt idx="20">
                  <c:v>0.38370157599647375</c:v>
                </c:pt>
                <c:pt idx="21">
                  <c:v>0.37091838760665652</c:v>
                </c:pt>
                <c:pt idx="22">
                  <c:v>0.38205601407403172</c:v>
                </c:pt>
                <c:pt idx="23">
                  <c:v>0.38372076126947335</c:v>
                </c:pt>
                <c:pt idx="24">
                  <c:v>6.8439277976806323E-2</c:v>
                </c:pt>
                <c:pt idx="25">
                  <c:v>2.6068763691503311E-2</c:v>
                </c:pt>
                <c:pt idx="26">
                  <c:v>5.6784795649167462E-2</c:v>
                </c:pt>
                <c:pt idx="27">
                  <c:v>6.949614130097552E-2</c:v>
                </c:pt>
                <c:pt idx="28">
                  <c:v>-9.1825027915339169E-2</c:v>
                </c:pt>
                <c:pt idx="29">
                  <c:v>-8.159875578191321E-2</c:v>
                </c:pt>
                <c:pt idx="30">
                  <c:v>-0.1729655198869606</c:v>
                </c:pt>
                <c:pt idx="31">
                  <c:v>-0.21697513731588636</c:v>
                </c:pt>
                <c:pt idx="32">
                  <c:v>0.41114877238715031</c:v>
                </c:pt>
                <c:pt idx="33">
                  <c:v>0.42225668796489435</c:v>
                </c:pt>
                <c:pt idx="34">
                  <c:v>0.47167512834252956</c:v>
                </c:pt>
                <c:pt idx="35">
                  <c:v>0.53802787146880204</c:v>
                </c:pt>
              </c:numCache>
            </c:numRef>
          </c:xVal>
          <c:yVal>
            <c:numRef>
              <c:f>Sheet2!$M$41:$M$76</c:f>
              <c:numCache>
                <c:formatCode>General</c:formatCode>
                <c:ptCount val="36"/>
                <c:pt idx="20" formatCode="0.000;\-0.000;\-">
                  <c:v>0.98674705471408342</c:v>
                </c:pt>
                <c:pt idx="21" formatCode="0.000;\-0.000;\-">
                  <c:v>2.1141251520574884</c:v>
                </c:pt>
                <c:pt idx="22" formatCode="0.000;\-0.000;\-">
                  <c:v>2.2768277161177108</c:v>
                </c:pt>
                <c:pt idx="23" formatCode="0.000;\-0.000;\-">
                  <c:v>2.4480309418595225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55-478E-B650-EF3E1E7F2223}"/>
            </c:ext>
          </c:extLst>
        </c:ser>
        <c:ser>
          <c:idx val="6"/>
          <c:order val="6"/>
          <c:tx>
            <c:strRef>
              <c:f>Sheet2!$N$40</c:f>
              <c:strCache>
                <c:ptCount val="1"/>
                <c:pt idx="0">
                  <c:v>VI:T1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tailEnd type="triangle" w="lg" len="med"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Sheet2!$G$41:$G$76</c:f>
              <c:numCache>
                <c:formatCode>0.000;\-0.000;\-</c:formatCode>
                <c:ptCount val="36"/>
                <c:pt idx="0">
                  <c:v>1.1093131625702045E-2</c:v>
                </c:pt>
                <c:pt idx="1">
                  <c:v>3.8420031092371303E-3</c:v>
                </c:pt>
                <c:pt idx="2">
                  <c:v>7.66696350895444E-3</c:v>
                </c:pt>
                <c:pt idx="3">
                  <c:v>8.5831678415283757E-3</c:v>
                </c:pt>
                <c:pt idx="4">
                  <c:v>-0.19969947062191312</c:v>
                </c:pt>
                <c:pt idx="5">
                  <c:v>-0.2394931151012942</c:v>
                </c:pt>
                <c:pt idx="6">
                  <c:v>-0.36816086659123126</c:v>
                </c:pt>
                <c:pt idx="7">
                  <c:v>-0.4184076356107112</c:v>
                </c:pt>
                <c:pt idx="8">
                  <c:v>0.34780600336263678</c:v>
                </c:pt>
                <c:pt idx="9">
                  <c:v>0.33318317224165611</c:v>
                </c:pt>
                <c:pt idx="10">
                  <c:v>0.33753527687674306</c:v>
                </c:pt>
                <c:pt idx="11">
                  <c:v>0.32622209164420601</c:v>
                </c:pt>
                <c:pt idx="12">
                  <c:v>3.3409369245558901E-2</c:v>
                </c:pt>
                <c:pt idx="13">
                  <c:v>8.3900572417244471E-3</c:v>
                </c:pt>
                <c:pt idx="14">
                  <c:v>1.2123207450231849E-2</c:v>
                </c:pt>
                <c:pt idx="15">
                  <c:v>9.8218172868532704E-3</c:v>
                </c:pt>
                <c:pt idx="16">
                  <c:v>-0.13939837460647447</c:v>
                </c:pt>
                <c:pt idx="17">
                  <c:v>-0.17301661832986051</c:v>
                </c:pt>
                <c:pt idx="18">
                  <c:v>-0.30436252856941937</c:v>
                </c:pt>
                <c:pt idx="19">
                  <c:v>-0.36475693717694019</c:v>
                </c:pt>
                <c:pt idx="20">
                  <c:v>0.38370157599647375</c:v>
                </c:pt>
                <c:pt idx="21">
                  <c:v>0.37091838760665652</c:v>
                </c:pt>
                <c:pt idx="22">
                  <c:v>0.38205601407403172</c:v>
                </c:pt>
                <c:pt idx="23">
                  <c:v>0.38372076126947335</c:v>
                </c:pt>
                <c:pt idx="24">
                  <c:v>6.8439277976806323E-2</c:v>
                </c:pt>
                <c:pt idx="25">
                  <c:v>2.6068763691503311E-2</c:v>
                </c:pt>
                <c:pt idx="26">
                  <c:v>5.6784795649167462E-2</c:v>
                </c:pt>
                <c:pt idx="27">
                  <c:v>6.949614130097552E-2</c:v>
                </c:pt>
                <c:pt idx="28">
                  <c:v>-9.1825027915339169E-2</c:v>
                </c:pt>
                <c:pt idx="29">
                  <c:v>-8.159875578191321E-2</c:v>
                </c:pt>
                <c:pt idx="30">
                  <c:v>-0.1729655198869606</c:v>
                </c:pt>
                <c:pt idx="31">
                  <c:v>-0.21697513731588636</c:v>
                </c:pt>
                <c:pt idx="32">
                  <c:v>0.41114877238715031</c:v>
                </c:pt>
                <c:pt idx="33">
                  <c:v>0.42225668796489435</c:v>
                </c:pt>
                <c:pt idx="34">
                  <c:v>0.47167512834252956</c:v>
                </c:pt>
                <c:pt idx="35">
                  <c:v>0.53802787146880204</c:v>
                </c:pt>
              </c:numCache>
            </c:numRef>
          </c:xVal>
          <c:yVal>
            <c:numRef>
              <c:f>Sheet2!$N$41:$N$76</c:f>
              <c:numCache>
                <c:formatCode>General</c:formatCode>
                <c:ptCount val="36"/>
                <c:pt idx="24" formatCode="0.000;\-0.000;\-">
                  <c:v>0.41806627059861801</c:v>
                </c:pt>
                <c:pt idx="25" formatCode="0.000;\-0.000;\-">
                  <c:v>9.7133915818938155E-2</c:v>
                </c:pt>
                <c:pt idx="26" formatCode="0.000;\-0.000;\-">
                  <c:v>-0.15116602503205367</c:v>
                </c:pt>
                <c:pt idx="27" formatCode="0.000;\-0.000;\-">
                  <c:v>-0.34327149432613768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55-478E-B650-EF3E1E7F2223}"/>
            </c:ext>
          </c:extLst>
        </c:ser>
        <c:ser>
          <c:idx val="7"/>
          <c:order val="7"/>
          <c:tx>
            <c:strRef>
              <c:f>Sheet2!$O$40</c:f>
              <c:strCache>
                <c:ptCount val="1"/>
                <c:pt idx="0">
                  <c:v>VI:T2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  <a:tailEnd type="triangle" w="lg" len="med"/>
            </a:ln>
            <a:effectLst/>
          </c:spPr>
          <c:marker>
            <c:symbol val="squar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Sheet2!$G$41:$G$76</c:f>
              <c:numCache>
                <c:formatCode>0.000;\-0.000;\-</c:formatCode>
                <c:ptCount val="36"/>
                <c:pt idx="0">
                  <c:v>1.1093131625702045E-2</c:v>
                </c:pt>
                <c:pt idx="1">
                  <c:v>3.8420031092371303E-3</c:v>
                </c:pt>
                <c:pt idx="2">
                  <c:v>7.66696350895444E-3</c:v>
                </c:pt>
                <c:pt idx="3">
                  <c:v>8.5831678415283757E-3</c:v>
                </c:pt>
                <c:pt idx="4">
                  <c:v>-0.19969947062191312</c:v>
                </c:pt>
                <c:pt idx="5">
                  <c:v>-0.2394931151012942</c:v>
                </c:pt>
                <c:pt idx="6">
                  <c:v>-0.36816086659123126</c:v>
                </c:pt>
                <c:pt idx="7">
                  <c:v>-0.4184076356107112</c:v>
                </c:pt>
                <c:pt idx="8">
                  <c:v>0.34780600336263678</c:v>
                </c:pt>
                <c:pt idx="9">
                  <c:v>0.33318317224165611</c:v>
                </c:pt>
                <c:pt idx="10">
                  <c:v>0.33753527687674306</c:v>
                </c:pt>
                <c:pt idx="11">
                  <c:v>0.32622209164420601</c:v>
                </c:pt>
                <c:pt idx="12">
                  <c:v>3.3409369245558901E-2</c:v>
                </c:pt>
                <c:pt idx="13">
                  <c:v>8.3900572417244471E-3</c:v>
                </c:pt>
                <c:pt idx="14">
                  <c:v>1.2123207450231849E-2</c:v>
                </c:pt>
                <c:pt idx="15">
                  <c:v>9.8218172868532704E-3</c:v>
                </c:pt>
                <c:pt idx="16">
                  <c:v>-0.13939837460647447</c:v>
                </c:pt>
                <c:pt idx="17">
                  <c:v>-0.17301661832986051</c:v>
                </c:pt>
                <c:pt idx="18">
                  <c:v>-0.30436252856941937</c:v>
                </c:pt>
                <c:pt idx="19">
                  <c:v>-0.36475693717694019</c:v>
                </c:pt>
                <c:pt idx="20">
                  <c:v>0.38370157599647375</c:v>
                </c:pt>
                <c:pt idx="21">
                  <c:v>0.37091838760665652</c:v>
                </c:pt>
                <c:pt idx="22">
                  <c:v>0.38205601407403172</c:v>
                </c:pt>
                <c:pt idx="23">
                  <c:v>0.38372076126947335</c:v>
                </c:pt>
                <c:pt idx="24">
                  <c:v>6.8439277976806323E-2</c:v>
                </c:pt>
                <c:pt idx="25">
                  <c:v>2.6068763691503311E-2</c:v>
                </c:pt>
                <c:pt idx="26">
                  <c:v>5.6784795649167462E-2</c:v>
                </c:pt>
                <c:pt idx="27">
                  <c:v>6.949614130097552E-2</c:v>
                </c:pt>
                <c:pt idx="28">
                  <c:v>-9.1825027915339169E-2</c:v>
                </c:pt>
                <c:pt idx="29">
                  <c:v>-8.159875578191321E-2</c:v>
                </c:pt>
                <c:pt idx="30">
                  <c:v>-0.1729655198869606</c:v>
                </c:pt>
                <c:pt idx="31">
                  <c:v>-0.21697513731588636</c:v>
                </c:pt>
                <c:pt idx="32">
                  <c:v>0.41114877238715031</c:v>
                </c:pt>
                <c:pt idx="33">
                  <c:v>0.42225668796489435</c:v>
                </c:pt>
                <c:pt idx="34">
                  <c:v>0.47167512834252956</c:v>
                </c:pt>
                <c:pt idx="35">
                  <c:v>0.53802787146880204</c:v>
                </c:pt>
              </c:numCache>
            </c:numRef>
          </c:xVal>
          <c:yVal>
            <c:numRef>
              <c:f>Sheet2!$O$41:$O$76</c:f>
              <c:numCache>
                <c:formatCode>General</c:formatCode>
                <c:ptCount val="36"/>
                <c:pt idx="28" formatCode="0.000;\-0.000;\-">
                  <c:v>0.71444611031679206</c:v>
                </c:pt>
                <c:pt idx="29" formatCode="0.000;\-0.000;\-">
                  <c:v>0.49044924007299029</c:v>
                </c:pt>
                <c:pt idx="30" formatCode="0.000;\-0.000;\-">
                  <c:v>0.29571814702515264</c:v>
                </c:pt>
                <c:pt idx="31" formatCode="0.000;\-0.000;\-">
                  <c:v>0.12642918080730925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55-478E-B650-EF3E1E7F2223}"/>
            </c:ext>
          </c:extLst>
        </c:ser>
        <c:ser>
          <c:idx val="8"/>
          <c:order val="8"/>
          <c:tx>
            <c:strRef>
              <c:f>Sheet2!$P$40</c:f>
              <c:strCache>
                <c:ptCount val="1"/>
                <c:pt idx="0">
                  <c:v>VI:T3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  <a:tailEnd type="triangle" w="lg" len="med"/>
            </a:ln>
            <a:effectLst/>
          </c:spPr>
          <c:marker>
            <c:symbol val="square"/>
            <c:size val="7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Sheet2!$G$41:$G$76</c:f>
              <c:numCache>
                <c:formatCode>0.000;\-0.000;\-</c:formatCode>
                <c:ptCount val="36"/>
                <c:pt idx="0">
                  <c:v>1.1093131625702045E-2</c:v>
                </c:pt>
                <c:pt idx="1">
                  <c:v>3.8420031092371303E-3</c:v>
                </c:pt>
                <c:pt idx="2">
                  <c:v>7.66696350895444E-3</c:v>
                </c:pt>
                <c:pt idx="3">
                  <c:v>8.5831678415283757E-3</c:v>
                </c:pt>
                <c:pt idx="4">
                  <c:v>-0.19969947062191312</c:v>
                </c:pt>
                <c:pt idx="5">
                  <c:v>-0.2394931151012942</c:v>
                </c:pt>
                <c:pt idx="6">
                  <c:v>-0.36816086659123126</c:v>
                </c:pt>
                <c:pt idx="7">
                  <c:v>-0.4184076356107112</c:v>
                </c:pt>
                <c:pt idx="8">
                  <c:v>0.34780600336263678</c:v>
                </c:pt>
                <c:pt idx="9">
                  <c:v>0.33318317224165611</c:v>
                </c:pt>
                <c:pt idx="10">
                  <c:v>0.33753527687674306</c:v>
                </c:pt>
                <c:pt idx="11">
                  <c:v>0.32622209164420601</c:v>
                </c:pt>
                <c:pt idx="12">
                  <c:v>3.3409369245558901E-2</c:v>
                </c:pt>
                <c:pt idx="13">
                  <c:v>8.3900572417244471E-3</c:v>
                </c:pt>
                <c:pt idx="14">
                  <c:v>1.2123207450231849E-2</c:v>
                </c:pt>
                <c:pt idx="15">
                  <c:v>9.8218172868532704E-3</c:v>
                </c:pt>
                <c:pt idx="16">
                  <c:v>-0.13939837460647447</c:v>
                </c:pt>
                <c:pt idx="17">
                  <c:v>-0.17301661832986051</c:v>
                </c:pt>
                <c:pt idx="18">
                  <c:v>-0.30436252856941937</c:v>
                </c:pt>
                <c:pt idx="19">
                  <c:v>-0.36475693717694019</c:v>
                </c:pt>
                <c:pt idx="20">
                  <c:v>0.38370157599647375</c:v>
                </c:pt>
                <c:pt idx="21">
                  <c:v>0.37091838760665652</c:v>
                </c:pt>
                <c:pt idx="22">
                  <c:v>0.38205601407403172</c:v>
                </c:pt>
                <c:pt idx="23">
                  <c:v>0.38372076126947335</c:v>
                </c:pt>
                <c:pt idx="24">
                  <c:v>6.8439277976806323E-2</c:v>
                </c:pt>
                <c:pt idx="25">
                  <c:v>2.6068763691503311E-2</c:v>
                </c:pt>
                <c:pt idx="26">
                  <c:v>5.6784795649167462E-2</c:v>
                </c:pt>
                <c:pt idx="27">
                  <c:v>6.949614130097552E-2</c:v>
                </c:pt>
                <c:pt idx="28">
                  <c:v>-9.1825027915339169E-2</c:v>
                </c:pt>
                <c:pt idx="29">
                  <c:v>-8.159875578191321E-2</c:v>
                </c:pt>
                <c:pt idx="30">
                  <c:v>-0.1729655198869606</c:v>
                </c:pt>
                <c:pt idx="31">
                  <c:v>-0.21697513731588636</c:v>
                </c:pt>
                <c:pt idx="32">
                  <c:v>0.41114877238715031</c:v>
                </c:pt>
                <c:pt idx="33">
                  <c:v>0.42225668796489435</c:v>
                </c:pt>
                <c:pt idx="34">
                  <c:v>0.47167512834252956</c:v>
                </c:pt>
                <c:pt idx="35">
                  <c:v>0.53802787146880204</c:v>
                </c:pt>
              </c:numCache>
            </c:numRef>
          </c:xVal>
          <c:yVal>
            <c:numRef>
              <c:f>Sheet2!$P$41:$P$76</c:f>
              <c:numCache>
                <c:formatCode>General</c:formatCode>
                <c:ptCount val="36"/>
                <c:pt idx="32" formatCode="0.000;\-0.000;\-">
                  <c:v>1.3898826574752148</c:v>
                </c:pt>
                <c:pt idx="33" formatCode="0.000;\-0.000;\-">
                  <c:v>1.1075320730735969</c:v>
                </c:pt>
                <c:pt idx="34" formatCode="0.000;\-0.000;\-">
                  <c:v>0.85853955010757987</c:v>
                </c:pt>
                <c:pt idx="35" formatCode="0.000;\-0.000;\-">
                  <c:v>0.63896402975095468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55-478E-B650-EF3E1E7F2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394512"/>
        <c:axId val="1773394992"/>
      </c:scatterChart>
      <c:valAx>
        <c:axId val="1773394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3394992"/>
        <c:crosses val="autoZero"/>
        <c:crossBetween val="midCat"/>
      </c:valAx>
      <c:valAx>
        <c:axId val="177339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Effect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3394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518477</xdr:colOff>
      <xdr:row>114</xdr:row>
      <xdr:rowOff>69215</xdr:rowOff>
    </xdr:from>
    <xdr:to>
      <xdr:col>13</xdr:col>
      <xdr:colOff>271352</xdr:colOff>
      <xdr:row>128</xdr:row>
      <xdr:rowOff>145415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C1C9252-8DE0-33AC-E6E4-6CDC43BC2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171450</xdr:colOff>
      <xdr:row>130</xdr:row>
      <xdr:rowOff>85725</xdr:rowOff>
    </xdr:from>
    <xdr:to>
      <xdr:col>21</xdr:col>
      <xdr:colOff>412750</xdr:colOff>
      <xdr:row>144</xdr:row>
      <xdr:rowOff>161925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691730F-54FE-F923-06E8-871D030B4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232726</xdr:colOff>
      <xdr:row>114</xdr:row>
      <xdr:rowOff>69215</xdr:rowOff>
    </xdr:from>
    <xdr:to>
      <xdr:col>21</xdr:col>
      <xdr:colOff>596789</xdr:colOff>
      <xdr:row>128</xdr:row>
      <xdr:rowOff>145415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8A85464-9574-0154-1E8F-6C5EA310C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97789</xdr:colOff>
      <xdr:row>114</xdr:row>
      <xdr:rowOff>69215</xdr:rowOff>
    </xdr:from>
    <xdr:to>
      <xdr:col>28</xdr:col>
      <xdr:colOff>461851</xdr:colOff>
      <xdr:row>128</xdr:row>
      <xdr:rowOff>145415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EE826E6-E6FC-7B09-91E9-704916B8E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43</xdr:row>
      <xdr:rowOff>180975</xdr:rowOff>
    </xdr:from>
    <xdr:to>
      <xdr:col>21</xdr:col>
      <xdr:colOff>571500</xdr:colOff>
      <xdr:row>62</xdr:row>
      <xdr:rowOff>66675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BF09D42-F9FC-2AD7-1656-98C2089B8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281a82ac62a8fe2/&#12487;&#12473;&#12463;&#12488;&#12483;&#12503;/&#30740;&#31350;Ongo/MareBuis/marebuis_vol2.1_m.xlsx" TargetMode="External"/><Relationship Id="rId1" Type="http://schemas.openxmlformats.org/officeDocument/2006/relationships/externalLinkPath" Target="marebuis_vol2.1_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table"/>
      <sheetName val="decomp"/>
    </sheetNames>
    <sheetDataSet>
      <sheetData sheetId="0">
        <row r="26">
          <cell r="I26" t="str">
            <v>兄弟数</v>
          </cell>
        </row>
        <row r="27">
          <cell r="I27" t="str">
            <v>父中卒ref</v>
          </cell>
        </row>
        <row r="28">
          <cell r="I28" t="str">
            <v>父高卒</v>
          </cell>
        </row>
        <row r="29">
          <cell r="I29" t="str">
            <v>父大卒</v>
          </cell>
        </row>
        <row r="30">
          <cell r="I30" t="str">
            <v>世代40s ref</v>
          </cell>
        </row>
        <row r="31">
          <cell r="I31" t="str">
            <v xml:space="preserve"> 50s</v>
          </cell>
        </row>
        <row r="32">
          <cell r="I32" t="str">
            <v xml:space="preserve"> 60s</v>
          </cell>
        </row>
        <row r="33">
          <cell r="I33" t="str">
            <v xml:space="preserve"> 70s</v>
          </cell>
        </row>
        <row r="34">
          <cell r="I34" t="str">
            <v xml:space="preserve"> 80-90s</v>
          </cell>
        </row>
        <row r="35">
          <cell r="I35">
            <v>0</v>
          </cell>
        </row>
        <row r="36">
          <cell r="I36" t="str">
            <v>EGP I+II</v>
          </cell>
        </row>
        <row r="37">
          <cell r="I37" t="str">
            <v xml:space="preserve"> IIIab</v>
          </cell>
        </row>
        <row r="38">
          <cell r="I38" t="str">
            <v xml:space="preserve"> IVab</v>
          </cell>
        </row>
        <row r="39">
          <cell r="I39" t="str">
            <v xml:space="preserve"> V+VI+VIIab+IVc</v>
          </cell>
        </row>
        <row r="40">
          <cell r="I40" t="str">
            <v xml:space="preserve"> job+abs</v>
          </cell>
        </row>
        <row r="41">
          <cell r="I41" t="str">
            <v>世代× I+II</v>
          </cell>
        </row>
        <row r="42">
          <cell r="I42" t="str">
            <v xml:space="preserve"> IIIab</v>
          </cell>
        </row>
        <row r="43">
          <cell r="I43" t="str">
            <v xml:space="preserve"> IVab</v>
          </cell>
        </row>
        <row r="44">
          <cell r="I44" t="str">
            <v xml:space="preserve"> V+VI+VIIab+IVc</v>
          </cell>
        </row>
        <row r="45">
          <cell r="I45" t="str">
            <v xml:space="preserve"> job+abs</v>
          </cell>
        </row>
        <row r="46">
          <cell r="I46" t="str">
            <v>定数</v>
          </cell>
        </row>
        <row r="47">
          <cell r="I47" t="str">
            <v>兄弟数</v>
          </cell>
        </row>
        <row r="48">
          <cell r="I48" t="str">
            <v>父中卒ref</v>
          </cell>
        </row>
        <row r="49">
          <cell r="I49" t="str">
            <v>父高卒</v>
          </cell>
        </row>
        <row r="50">
          <cell r="I50" t="str">
            <v>父大卒</v>
          </cell>
        </row>
        <row r="51">
          <cell r="I51" t="str">
            <v>世代40s ref</v>
          </cell>
        </row>
        <row r="52">
          <cell r="I52" t="str">
            <v xml:space="preserve"> 50s</v>
          </cell>
        </row>
        <row r="53">
          <cell r="I53" t="str">
            <v xml:space="preserve"> 60s</v>
          </cell>
        </row>
        <row r="54">
          <cell r="I54" t="str">
            <v xml:space="preserve"> 70s</v>
          </cell>
        </row>
        <row r="55">
          <cell r="I55" t="str">
            <v xml:space="preserve"> 80-90s</v>
          </cell>
        </row>
        <row r="56">
          <cell r="I56">
            <v>0</v>
          </cell>
        </row>
        <row r="57">
          <cell r="I57" t="str">
            <v>EGP I+II</v>
          </cell>
        </row>
        <row r="58">
          <cell r="I58" t="str">
            <v xml:space="preserve"> IIIab</v>
          </cell>
        </row>
        <row r="59">
          <cell r="I59" t="str">
            <v xml:space="preserve"> IVab</v>
          </cell>
        </row>
        <row r="60">
          <cell r="I60" t="str">
            <v xml:space="preserve"> V+VI+VIIab+IVc</v>
          </cell>
        </row>
        <row r="61">
          <cell r="I61" t="str">
            <v xml:space="preserve"> job+abs</v>
          </cell>
        </row>
        <row r="62">
          <cell r="I62" t="str">
            <v>世代× I+II</v>
          </cell>
        </row>
        <row r="63">
          <cell r="I63" t="str">
            <v xml:space="preserve"> IIIab</v>
          </cell>
        </row>
        <row r="64">
          <cell r="I64" t="str">
            <v xml:space="preserve"> IVab</v>
          </cell>
        </row>
        <row r="65">
          <cell r="I65" t="str">
            <v xml:space="preserve"> V+VI+VIIab+IVc</v>
          </cell>
        </row>
        <row r="66">
          <cell r="I66" t="str">
            <v xml:space="preserve"> job+abs</v>
          </cell>
        </row>
        <row r="67">
          <cell r="I67" t="str">
            <v>定数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7BAF-DAE6-480A-8281-70639A964C98}">
  <dimension ref="D2:U67"/>
  <sheetViews>
    <sheetView showGridLines="0" topLeftCell="D1" workbookViewId="0">
      <selection activeCell="M26" sqref="M26"/>
    </sheetView>
  </sheetViews>
  <sheetFormatPr defaultRowHeight="15" x14ac:dyDescent="0.25"/>
  <cols>
    <col min="1" max="10" width="9.140625" style="19"/>
    <col min="11" max="11" width="7" style="24" bestFit="1" customWidth="1"/>
    <col min="12" max="12" width="7.7109375" style="24" bestFit="1" customWidth="1"/>
    <col min="13" max="13" width="3.7109375" style="34" bestFit="1" customWidth="1"/>
    <col min="14" max="14" width="4.7109375" style="24" customWidth="1"/>
    <col min="15" max="15" width="7" style="24" bestFit="1" customWidth="1"/>
    <col min="16" max="16" width="7.7109375" style="24" bestFit="1" customWidth="1"/>
    <col min="17" max="17" width="3.7109375" style="34" bestFit="1" customWidth="1"/>
    <col min="18" max="18" width="4.5703125" style="24" customWidth="1"/>
    <col min="19" max="19" width="7" style="24" bestFit="1" customWidth="1"/>
    <col min="20" max="20" width="7.7109375" style="24" bestFit="1" customWidth="1"/>
    <col min="21" max="21" width="3.7109375" style="34" bestFit="1" customWidth="1"/>
    <col min="22" max="16384" width="9.140625" style="19"/>
  </cols>
  <sheetData>
    <row r="2" spans="4:21" x14ac:dyDescent="0.25">
      <c r="J2" s="20" t="s">
        <v>202</v>
      </c>
      <c r="K2" s="21"/>
      <c r="L2" s="21"/>
      <c r="M2" s="22"/>
      <c r="N2" s="21"/>
      <c r="O2" s="21"/>
      <c r="P2" s="21"/>
      <c r="Q2" s="22"/>
      <c r="R2" s="21"/>
      <c r="S2" s="21"/>
      <c r="T2" s="21"/>
      <c r="U2" s="22"/>
    </row>
    <row r="3" spans="4:21" x14ac:dyDescent="0.25">
      <c r="K3" s="23" t="s">
        <v>178</v>
      </c>
      <c r="L3" s="23"/>
      <c r="M3" s="23"/>
      <c r="O3" s="23" t="s">
        <v>179</v>
      </c>
      <c r="P3" s="23"/>
      <c r="Q3" s="23"/>
      <c r="S3" s="23" t="s">
        <v>180</v>
      </c>
      <c r="T3" s="23"/>
      <c r="U3" s="23"/>
    </row>
    <row r="4" spans="4:21" x14ac:dyDescent="0.25">
      <c r="J4" s="20"/>
      <c r="K4" s="25" t="s">
        <v>181</v>
      </c>
      <c r="L4" s="25" t="s">
        <v>182</v>
      </c>
      <c r="M4" s="26"/>
      <c r="N4" s="27"/>
      <c r="O4" s="25" t="s">
        <v>181</v>
      </c>
      <c r="P4" s="25" t="s">
        <v>182</v>
      </c>
      <c r="Q4" s="26"/>
      <c r="R4" s="27"/>
      <c r="S4" s="25" t="s">
        <v>181</v>
      </c>
      <c r="T4" s="25" t="s">
        <v>182</v>
      </c>
      <c r="U4" s="26"/>
    </row>
    <row r="5" spans="4:21" x14ac:dyDescent="0.25">
      <c r="D5" s="19" t="str" cm="1">
        <f t="array" ref="D5:D25">Sheet1!I5:I25</f>
        <v>兄弟数</v>
      </c>
      <c r="E5" s="19" cm="1">
        <f t="array" ref="E5:G67">_xlfn.CHOOSECOLS(Sheet1!C5:F67,1,2,4)</f>
        <v>-0.2029396434495386</v>
      </c>
      <c r="F5" s="19">
        <v>2.5371019493158151E-2</v>
      </c>
      <c r="G5" s="19">
        <v>1.2555990140499092E-15</v>
      </c>
      <c r="H5" s="19" t="str" cm="1">
        <f t="array" ref="H5:H67">_xlfn.IFS(G5:G67=0,"",G5:G67&lt;0.01,"**",G5:G67&lt;0.05,"*",G5:G67&lt;0.1,"†",G5:G67&gt;=0.1,"")</f>
        <v>**</v>
      </c>
      <c r="J5" s="19" t="s">
        <v>183</v>
      </c>
      <c r="K5" s="28" cm="1">
        <f t="array" ref="K5:L25">E5:F25</f>
        <v>-0.2029396434495386</v>
      </c>
      <c r="L5" s="29">
        <v>2.5371019493158151E-2</v>
      </c>
      <c r="M5" s="32" t="str" cm="1">
        <f t="array" ref="M5:M25">H5:H25</f>
        <v>**</v>
      </c>
      <c r="N5" s="28"/>
      <c r="O5" s="28" cm="1">
        <f t="array" ref="O5:P25">E26:F46</f>
        <v>-0.10705058603406199</v>
      </c>
      <c r="P5" s="29">
        <v>2.6622535113993054E-2</v>
      </c>
      <c r="Q5" s="32" t="str" cm="1">
        <f t="array" ref="Q5:Q25">H26:H46</f>
        <v>**</v>
      </c>
      <c r="R5" s="28"/>
      <c r="S5" s="28" cm="1">
        <f t="array" ref="S5:T25">E47:F67</f>
        <v>-0.3542386139944888</v>
      </c>
      <c r="T5" s="29">
        <v>4.5247728609165164E-2</v>
      </c>
      <c r="U5" s="32" t="str" cm="1">
        <f t="array" ref="U5:U25">H47:H67</f>
        <v>**</v>
      </c>
    </row>
    <row r="6" spans="4:21" x14ac:dyDescent="0.25">
      <c r="D6" s="19" t="str">
        <v>父中卒ref</v>
      </c>
      <c r="E6" s="19">
        <v>0</v>
      </c>
      <c r="F6" s="19">
        <v>0</v>
      </c>
      <c r="G6" s="19">
        <v>0</v>
      </c>
      <c r="H6" s="19" t="str">
        <v/>
      </c>
      <c r="J6" s="19" t="s">
        <v>184</v>
      </c>
      <c r="K6" s="28">
        <v>0</v>
      </c>
      <c r="L6" s="29">
        <v>0</v>
      </c>
      <c r="M6" s="32" t="str">
        <v/>
      </c>
      <c r="N6" s="28"/>
      <c r="O6" s="28">
        <v>0</v>
      </c>
      <c r="P6" s="29">
        <v>0</v>
      </c>
      <c r="Q6" s="32" t="str">
        <v/>
      </c>
      <c r="R6" s="28"/>
      <c r="S6" s="28">
        <v>0</v>
      </c>
      <c r="T6" s="29">
        <v>0</v>
      </c>
      <c r="U6" s="32" t="str">
        <v/>
      </c>
    </row>
    <row r="7" spans="4:21" x14ac:dyDescent="0.25">
      <c r="D7" s="19" t="str">
        <v>父高卒</v>
      </c>
      <c r="E7" s="19">
        <v>1.0640685407605641</v>
      </c>
      <c r="F7" s="19">
        <v>0.13351570635328691</v>
      </c>
      <c r="G7" s="19">
        <v>1.5917172282682681E-15</v>
      </c>
      <c r="H7" s="19" t="str">
        <v>**</v>
      </c>
      <c r="J7" s="19" t="s">
        <v>138</v>
      </c>
      <c r="K7" s="28">
        <v>1.0640685407605641</v>
      </c>
      <c r="L7" s="29">
        <v>0.13351570635328691</v>
      </c>
      <c r="M7" s="32" t="str">
        <v>**</v>
      </c>
      <c r="N7" s="28"/>
      <c r="O7" s="28">
        <v>0.50504807185509104</v>
      </c>
      <c r="P7" s="29">
        <v>7.5548719562050115E-2</v>
      </c>
      <c r="Q7" s="32" t="str">
        <v>**</v>
      </c>
      <c r="R7" s="28"/>
      <c r="S7" s="28">
        <v>0.89097272683980322</v>
      </c>
      <c r="T7" s="29">
        <v>0.1233430880034056</v>
      </c>
      <c r="U7" s="32" t="str">
        <v>**</v>
      </c>
    </row>
    <row r="8" spans="4:21" x14ac:dyDescent="0.25">
      <c r="D8" s="19" t="str">
        <v>父大卒</v>
      </c>
      <c r="E8" s="19">
        <v>1.4580360534794317</v>
      </c>
      <c r="F8" s="19">
        <v>0.23472684794259374</v>
      </c>
      <c r="G8" s="19">
        <v>5.2438176525597343E-10</v>
      </c>
      <c r="H8" s="19" t="str">
        <v>**</v>
      </c>
      <c r="J8" s="19" t="s">
        <v>185</v>
      </c>
      <c r="K8" s="28">
        <v>1.4580360534794317</v>
      </c>
      <c r="L8" s="29">
        <v>0.23472684794259374</v>
      </c>
      <c r="M8" s="32" t="str">
        <v>**</v>
      </c>
      <c r="N8" s="28"/>
      <c r="O8" s="28">
        <v>0.91744533083995439</v>
      </c>
      <c r="P8" s="29">
        <v>0.10279621073018548</v>
      </c>
      <c r="Q8" s="32" t="str">
        <v>**</v>
      </c>
      <c r="R8" s="28"/>
      <c r="S8" s="28">
        <v>2.0344063256730252</v>
      </c>
      <c r="T8" s="29">
        <v>0.13738748121193758</v>
      </c>
      <c r="U8" s="32" t="str">
        <v>**</v>
      </c>
    </row>
    <row r="9" spans="4:21" x14ac:dyDescent="0.25">
      <c r="D9" s="19" t="str">
        <v>世代40s ref</v>
      </c>
      <c r="E9" s="19">
        <v>0</v>
      </c>
      <c r="F9" s="19">
        <v>0</v>
      </c>
      <c r="G9" s="19">
        <v>0</v>
      </c>
      <c r="H9" s="19" t="str">
        <v/>
      </c>
      <c r="J9" s="19" t="s">
        <v>186</v>
      </c>
      <c r="K9" s="28">
        <v>0</v>
      </c>
      <c r="L9" s="29">
        <v>0</v>
      </c>
      <c r="M9" s="32" t="str">
        <v/>
      </c>
      <c r="N9" s="28"/>
      <c r="O9" s="28">
        <v>0</v>
      </c>
      <c r="P9" s="29">
        <v>0</v>
      </c>
      <c r="Q9" s="32" t="str">
        <v/>
      </c>
      <c r="R9" s="28"/>
      <c r="S9" s="28">
        <v>0</v>
      </c>
      <c r="T9" s="29">
        <v>0</v>
      </c>
      <c r="U9" s="32" t="str">
        <v/>
      </c>
    </row>
    <row r="10" spans="4:21" x14ac:dyDescent="0.25">
      <c r="D10" s="19" t="str">
        <v xml:space="preserve"> 50s</v>
      </c>
      <c r="E10" s="19">
        <v>1.6293850124711591</v>
      </c>
      <c r="F10" s="19">
        <v>0.14093582560850312</v>
      </c>
      <c r="G10" s="19">
        <v>6.4808967584562107E-31</v>
      </c>
      <c r="H10" s="19" t="str">
        <v>**</v>
      </c>
      <c r="J10" s="19" t="s">
        <v>126</v>
      </c>
      <c r="K10" s="28">
        <v>1.6293850124711591</v>
      </c>
      <c r="L10" s="29">
        <v>0.14093582560850312</v>
      </c>
      <c r="M10" s="32" t="str">
        <v>**</v>
      </c>
      <c r="N10" s="28"/>
      <c r="O10" s="28">
        <v>0.67173991692584645</v>
      </c>
      <c r="P10" s="29">
        <v>0.10785463950269893</v>
      </c>
      <c r="Q10" s="32" t="str">
        <v>**</v>
      </c>
      <c r="R10" s="28"/>
      <c r="S10" s="28">
        <v>0.75076024353956017</v>
      </c>
      <c r="T10" s="29">
        <v>0.17648319526183104</v>
      </c>
      <c r="U10" s="32" t="str">
        <v>**</v>
      </c>
    </row>
    <row r="11" spans="4:21" x14ac:dyDescent="0.25">
      <c r="D11" s="19" t="str">
        <v xml:space="preserve"> 60s</v>
      </c>
      <c r="E11" s="19">
        <v>2.874195830920558</v>
      </c>
      <c r="F11" s="19">
        <v>0.28132581966818648</v>
      </c>
      <c r="G11" s="19">
        <v>1.6708422402784453E-24</v>
      </c>
      <c r="H11" s="19" t="str">
        <v>**</v>
      </c>
      <c r="J11" s="19" t="s">
        <v>139</v>
      </c>
      <c r="K11" s="28">
        <v>2.874195830920558</v>
      </c>
      <c r="L11" s="29">
        <v>0.28132581966818648</v>
      </c>
      <c r="M11" s="32" t="str">
        <v>**</v>
      </c>
      <c r="N11" s="28"/>
      <c r="O11" s="28">
        <v>0.79861247402649505</v>
      </c>
      <c r="P11" s="29">
        <v>0.12595448358579273</v>
      </c>
      <c r="Q11" s="32" t="str">
        <v>**</v>
      </c>
      <c r="R11" s="28"/>
      <c r="S11" s="28">
        <v>0.80611368455209842</v>
      </c>
      <c r="T11" s="29">
        <v>0.20563776244054718</v>
      </c>
      <c r="U11" s="32" t="str">
        <v>**</v>
      </c>
    </row>
    <row r="12" spans="4:21" x14ac:dyDescent="0.25">
      <c r="D12" s="19" t="str">
        <v xml:space="preserve"> 70s</v>
      </c>
      <c r="E12" s="19">
        <v>2.3913043051013898</v>
      </c>
      <c r="F12" s="19">
        <v>0.27660404513321446</v>
      </c>
      <c r="G12" s="19">
        <v>5.3699209317510671E-18</v>
      </c>
      <c r="H12" s="19" t="str">
        <v>**</v>
      </c>
      <c r="J12" s="19" t="s">
        <v>140</v>
      </c>
      <c r="K12" s="28">
        <v>2.3913043051013898</v>
      </c>
      <c r="L12" s="29">
        <v>0.27660404513321446</v>
      </c>
      <c r="M12" s="32" t="str">
        <v>**</v>
      </c>
      <c r="N12" s="28"/>
      <c r="O12" s="28">
        <v>1.0819615364255248</v>
      </c>
      <c r="P12" s="29">
        <v>0.14607533998746414</v>
      </c>
      <c r="Q12" s="32" t="str">
        <v>**</v>
      </c>
      <c r="R12" s="28"/>
      <c r="S12" s="28">
        <v>1.2960162090483165</v>
      </c>
      <c r="T12" s="29">
        <v>0.24341604701775979</v>
      </c>
      <c r="U12" s="32" t="str">
        <v>**</v>
      </c>
    </row>
    <row r="13" spans="4:21" x14ac:dyDescent="0.25">
      <c r="D13" s="19" t="str">
        <v xml:space="preserve"> 80-90s</v>
      </c>
      <c r="E13" s="19">
        <v>2.4848282597491913</v>
      </c>
      <c r="F13" s="19">
        <v>0.39068580189771301</v>
      </c>
      <c r="G13" s="19">
        <v>2.0153009909607017E-10</v>
      </c>
      <c r="H13" s="19" t="str">
        <v>**</v>
      </c>
      <c r="J13" s="19" t="s">
        <v>187</v>
      </c>
      <c r="K13" s="28">
        <v>2.4848282597491913</v>
      </c>
      <c r="L13" s="29">
        <v>0.39068580189771301</v>
      </c>
      <c r="M13" s="32" t="str">
        <v>**</v>
      </c>
      <c r="N13" s="28"/>
      <c r="O13" s="28">
        <v>1.020530867890354</v>
      </c>
      <c r="P13" s="29">
        <v>0.18033147204290545</v>
      </c>
      <c r="Q13" s="32" t="str">
        <v>**</v>
      </c>
      <c r="R13" s="28"/>
      <c r="S13" s="28">
        <v>1.6595199305639046</v>
      </c>
      <c r="T13" s="29">
        <v>0.29306538961714296</v>
      </c>
      <c r="U13" s="32" t="str">
        <v>**</v>
      </c>
    </row>
    <row r="14" spans="4:21" x14ac:dyDescent="0.25">
      <c r="D14" s="19">
        <v>0</v>
      </c>
      <c r="E14" s="19">
        <v>0</v>
      </c>
      <c r="F14" s="19">
        <v>0</v>
      </c>
      <c r="G14" s="19">
        <v>0</v>
      </c>
      <c r="H14" s="19" t="str">
        <v/>
      </c>
      <c r="K14" s="28">
        <v>0</v>
      </c>
      <c r="L14" s="29">
        <v>0</v>
      </c>
      <c r="M14" s="32" t="str">
        <v/>
      </c>
      <c r="N14" s="28"/>
      <c r="O14" s="28">
        <v>0</v>
      </c>
      <c r="P14" s="29">
        <v>0</v>
      </c>
      <c r="Q14" s="32" t="str">
        <v/>
      </c>
      <c r="R14" s="28"/>
      <c r="S14" s="28">
        <v>0</v>
      </c>
      <c r="T14" s="29">
        <v>0</v>
      </c>
      <c r="U14" s="32" t="str">
        <v/>
      </c>
    </row>
    <row r="15" spans="4:21" x14ac:dyDescent="0.25">
      <c r="D15" s="19" t="str">
        <v>EGP I+II</v>
      </c>
      <c r="E15" s="19">
        <v>3.0025493327800006</v>
      </c>
      <c r="F15" s="19">
        <v>1.3989821964732652</v>
      </c>
      <c r="G15" s="19">
        <v>3.1853962137110586E-2</v>
      </c>
      <c r="H15" s="19" t="str">
        <v>*</v>
      </c>
      <c r="J15" s="19" t="s">
        <v>188</v>
      </c>
      <c r="K15" s="28">
        <v>3.0025493327800006</v>
      </c>
      <c r="L15" s="29">
        <v>1.3989821964732652</v>
      </c>
      <c r="M15" s="32" t="str">
        <v>*</v>
      </c>
      <c r="N15" s="28"/>
      <c r="O15" s="28">
        <v>1.2215529954721454</v>
      </c>
      <c r="P15" s="29">
        <v>0.40084350539846703</v>
      </c>
      <c r="Q15" s="32" t="str">
        <v>**</v>
      </c>
      <c r="R15" s="28"/>
      <c r="S15" s="28">
        <v>1.0874636741811785</v>
      </c>
      <c r="T15" s="29">
        <v>0.58574701009165386</v>
      </c>
      <c r="U15" s="32" t="str">
        <v>†</v>
      </c>
    </row>
    <row r="16" spans="4:21" x14ac:dyDescent="0.25">
      <c r="D16" s="19" t="str">
        <v xml:space="preserve"> IIIab</v>
      </c>
      <c r="E16" s="19">
        <v>0.25615819485805469</v>
      </c>
      <c r="F16" s="19">
        <v>1.220348998210155</v>
      </c>
      <c r="G16" s="19">
        <v>0.83374128352260723</v>
      </c>
      <c r="H16" s="19" t="str">
        <v/>
      </c>
      <c r="J16" s="19" t="s">
        <v>132</v>
      </c>
      <c r="K16" s="28">
        <v>0.25615819485805469</v>
      </c>
      <c r="L16" s="29">
        <v>1.220348998210155</v>
      </c>
      <c r="M16" s="32" t="str">
        <v/>
      </c>
      <c r="N16" s="28"/>
      <c r="O16" s="28">
        <v>0.90053980982418591</v>
      </c>
      <c r="P16" s="29">
        <v>0.48923713926530904</v>
      </c>
      <c r="Q16" s="32" t="str">
        <v>†</v>
      </c>
      <c r="R16" s="28"/>
      <c r="S16" s="28">
        <v>0.83038307107234655</v>
      </c>
      <c r="T16" s="29">
        <v>0.70711391009126645</v>
      </c>
      <c r="U16" s="32" t="str">
        <v/>
      </c>
    </row>
    <row r="17" spans="4:21" x14ac:dyDescent="0.25">
      <c r="D17" s="19" t="str">
        <v xml:space="preserve"> IVab</v>
      </c>
      <c r="E17" s="19">
        <v>1.6322587315326944</v>
      </c>
      <c r="F17" s="19">
        <v>0.58501281523275417</v>
      </c>
      <c r="G17" s="19">
        <v>5.2687737190216521E-3</v>
      </c>
      <c r="H17" s="19" t="str">
        <v>**</v>
      </c>
      <c r="J17" s="19" t="s">
        <v>189</v>
      </c>
      <c r="K17" s="28">
        <v>1.6322587315326944</v>
      </c>
      <c r="L17" s="29">
        <v>0.58501281523275417</v>
      </c>
      <c r="M17" s="32" t="str">
        <v>**</v>
      </c>
      <c r="N17" s="28"/>
      <c r="O17" s="28">
        <v>1.2391524746484608</v>
      </c>
      <c r="P17" s="29">
        <v>0.398629133962636</v>
      </c>
      <c r="Q17" s="32" t="str">
        <v>**</v>
      </c>
      <c r="R17" s="28"/>
      <c r="S17" s="28">
        <v>1.4998774580927552</v>
      </c>
      <c r="T17" s="29">
        <v>0.65679066918517126</v>
      </c>
      <c r="U17" s="32" t="str">
        <v>*</v>
      </c>
    </row>
    <row r="18" spans="4:21" x14ac:dyDescent="0.25">
      <c r="D18" s="19" t="str">
        <v xml:space="preserve"> V+VI+VIIab+IVc</v>
      </c>
      <c r="E18" s="19">
        <v>0</v>
      </c>
      <c r="F18" s="19">
        <v>0</v>
      </c>
      <c r="G18" s="19">
        <v>0</v>
      </c>
      <c r="H18" s="19" t="str">
        <v/>
      </c>
      <c r="J18" s="19" t="s">
        <v>190</v>
      </c>
      <c r="K18" s="28">
        <v>0</v>
      </c>
      <c r="L18" s="29">
        <v>0</v>
      </c>
      <c r="M18" s="32" t="str">
        <v/>
      </c>
      <c r="N18" s="28"/>
      <c r="O18" s="28">
        <v>0</v>
      </c>
      <c r="P18" s="29">
        <v>0</v>
      </c>
      <c r="Q18" s="32" t="str">
        <v/>
      </c>
      <c r="R18" s="28"/>
      <c r="S18" s="28">
        <v>0</v>
      </c>
      <c r="T18" s="29">
        <v>0</v>
      </c>
      <c r="U18" s="32" t="str">
        <v/>
      </c>
    </row>
    <row r="19" spans="4:21" x14ac:dyDescent="0.25">
      <c r="D19" s="19" t="str">
        <v xml:space="preserve"> job+abs</v>
      </c>
      <c r="E19" s="19">
        <v>0.75071677041687757</v>
      </c>
      <c r="F19" s="19">
        <v>0.55866728527263831</v>
      </c>
      <c r="G19" s="19">
        <v>0.17902483901280761</v>
      </c>
      <c r="H19" s="19" t="str">
        <v/>
      </c>
      <c r="J19" s="19" t="s">
        <v>191</v>
      </c>
      <c r="K19" s="28">
        <v>0.75071677041687757</v>
      </c>
      <c r="L19" s="29">
        <v>0.55866728527263831</v>
      </c>
      <c r="M19" s="32" t="str">
        <v/>
      </c>
      <c r="N19" s="28"/>
      <c r="O19" s="28">
        <v>1.1341719718018841</v>
      </c>
      <c r="P19" s="29">
        <v>0.50159040186086379</v>
      </c>
      <c r="Q19" s="32" t="str">
        <v>*</v>
      </c>
      <c r="R19" s="28"/>
      <c r="S19" s="28">
        <v>1.5296554141429262</v>
      </c>
      <c r="T19" s="29">
        <v>0.76778092882017857</v>
      </c>
      <c r="U19" s="32" t="str">
        <v>*</v>
      </c>
    </row>
    <row r="20" spans="4:21" x14ac:dyDescent="0.25">
      <c r="D20" s="19" t="str">
        <v>世代× I+II</v>
      </c>
      <c r="E20" s="19">
        <v>-0.15880867413772903</v>
      </c>
      <c r="F20" s="19">
        <v>0.30548084169984518</v>
      </c>
      <c r="G20" s="19">
        <v>0.60315795347468781</v>
      </c>
      <c r="H20" s="19" t="str">
        <v/>
      </c>
      <c r="J20" s="19" t="s">
        <v>192</v>
      </c>
      <c r="K20" s="28">
        <v>-0.15880867413772903</v>
      </c>
      <c r="L20" s="29">
        <v>0.30548084169984518</v>
      </c>
      <c r="M20" s="32" t="str">
        <v/>
      </c>
      <c r="N20" s="28"/>
      <c r="O20" s="28">
        <v>-6.5995647913093619E-2</v>
      </c>
      <c r="P20" s="29">
        <v>6.8573372690360249E-2</v>
      </c>
      <c r="Q20" s="32" t="str">
        <v/>
      </c>
      <c r="R20" s="28"/>
      <c r="S20" s="28">
        <v>6.3982223846392142E-2</v>
      </c>
      <c r="T20" s="29">
        <v>9.2258944398983259E-2</v>
      </c>
      <c r="U20" s="32" t="str">
        <v/>
      </c>
    </row>
    <row r="21" spans="4:21" x14ac:dyDescent="0.25">
      <c r="D21" s="19" t="str">
        <v xml:space="preserve"> IIIab</v>
      </c>
      <c r="E21" s="19">
        <v>0.16597760399133485</v>
      </c>
      <c r="F21" s="19">
        <v>0.27636958500605857</v>
      </c>
      <c r="G21" s="19">
        <v>0.54813046866582482</v>
      </c>
      <c r="H21" s="19" t="str">
        <v/>
      </c>
      <c r="J21" s="19" t="s">
        <v>193</v>
      </c>
      <c r="K21" s="28">
        <v>0.16597760399133485</v>
      </c>
      <c r="L21" s="29">
        <v>0.27636958500605857</v>
      </c>
      <c r="M21" s="32" t="str">
        <v/>
      </c>
      <c r="N21" s="28"/>
      <c r="O21" s="28">
        <v>-5.4119504021520902E-2</v>
      </c>
      <c r="P21" s="29">
        <v>8.0835219678285622E-2</v>
      </c>
      <c r="Q21" s="32" t="str">
        <v/>
      </c>
      <c r="R21" s="28"/>
      <c r="S21" s="28">
        <v>5.0927531943250677E-2</v>
      </c>
      <c r="T21" s="29">
        <v>0.1092085554033458</v>
      </c>
      <c r="U21" s="32" t="str">
        <v/>
      </c>
    </row>
    <row r="22" spans="4:21" x14ac:dyDescent="0.25">
      <c r="D22" s="19" t="str">
        <v xml:space="preserve"> IVab</v>
      </c>
      <c r="E22" s="19">
        <v>-0.2565929138509721</v>
      </c>
      <c r="F22" s="19">
        <v>0.12826466288466357</v>
      </c>
      <c r="G22" s="19">
        <v>4.5446757649072134E-2</v>
      </c>
      <c r="H22" s="19" t="str">
        <v>*</v>
      </c>
      <c r="J22" s="19" t="s">
        <v>194</v>
      </c>
      <c r="K22" s="28">
        <v>-0.2565929138509721</v>
      </c>
      <c r="L22" s="29">
        <v>0.12826466288466357</v>
      </c>
      <c r="M22" s="32" t="str">
        <v>*</v>
      </c>
      <c r="N22" s="28"/>
      <c r="O22" s="28">
        <v>-0.14001248278823653</v>
      </c>
      <c r="P22" s="29">
        <v>6.833542065539909E-2</v>
      </c>
      <c r="Q22" s="32" t="str">
        <v>*</v>
      </c>
      <c r="R22" s="28"/>
      <c r="S22" s="28">
        <v>-0.12572663812907051</v>
      </c>
      <c r="T22" s="29">
        <v>0.10428176667968357</v>
      </c>
      <c r="U22" s="32" t="str">
        <v/>
      </c>
    </row>
    <row r="23" spans="4:21" x14ac:dyDescent="0.25">
      <c r="D23" s="19" t="str">
        <v xml:space="preserve"> V+VI+VIIab+IVc</v>
      </c>
      <c r="E23" s="19">
        <v>0</v>
      </c>
      <c r="F23" s="19">
        <v>0</v>
      </c>
      <c r="G23" s="19">
        <v>0</v>
      </c>
      <c r="H23" s="19" t="str">
        <v/>
      </c>
      <c r="J23" s="19" t="s">
        <v>195</v>
      </c>
      <c r="K23" s="28">
        <v>0</v>
      </c>
      <c r="L23" s="29">
        <v>0</v>
      </c>
      <c r="M23" s="32" t="str">
        <v/>
      </c>
      <c r="N23" s="28"/>
      <c r="O23" s="28">
        <v>0</v>
      </c>
      <c r="P23" s="29">
        <v>0</v>
      </c>
      <c r="Q23" s="32" t="str">
        <v/>
      </c>
      <c r="R23" s="28"/>
      <c r="S23" s="28">
        <v>0</v>
      </c>
      <c r="T23" s="29">
        <v>0</v>
      </c>
      <c r="U23" s="32" t="str">
        <v/>
      </c>
    </row>
    <row r="24" spans="4:21" x14ac:dyDescent="0.25">
      <c r="D24" s="19" t="str">
        <v xml:space="preserve"> job+abs</v>
      </c>
      <c r="E24" s="19">
        <v>-0.28396892678761082</v>
      </c>
      <c r="F24" s="19">
        <v>0.12067338605486709</v>
      </c>
      <c r="G24" s="19">
        <v>1.8612489514390061E-2</v>
      </c>
      <c r="H24" s="19" t="str">
        <v>*</v>
      </c>
      <c r="J24" s="19" t="s">
        <v>196</v>
      </c>
      <c r="K24" s="28">
        <v>-0.28396892678761082</v>
      </c>
      <c r="L24" s="29">
        <v>0.12067338605486709</v>
      </c>
      <c r="M24" s="32" t="str">
        <v>*</v>
      </c>
      <c r="N24" s="28"/>
      <c r="O24" s="28">
        <v>-0.23753407487401126</v>
      </c>
      <c r="P24" s="29">
        <v>8.5642695185842638E-2</v>
      </c>
      <c r="Q24" s="32" t="str">
        <v>**</v>
      </c>
      <c r="R24" s="28"/>
      <c r="S24" s="28">
        <v>-0.23558862091966948</v>
      </c>
      <c r="T24" s="29">
        <v>0.12064670852750979</v>
      </c>
      <c r="U24" s="32" t="str">
        <v>†</v>
      </c>
    </row>
    <row r="25" spans="4:21" x14ac:dyDescent="0.25">
      <c r="D25" s="19" t="str">
        <v>定数</v>
      </c>
      <c r="E25" s="19">
        <v>1.2230766717859454</v>
      </c>
      <c r="F25" s="19">
        <v>0.14145369324176085</v>
      </c>
      <c r="G25" s="19">
        <v>5.3111875632341879E-18</v>
      </c>
      <c r="H25" s="19" t="str">
        <v>**</v>
      </c>
      <c r="J25" s="20" t="s">
        <v>197</v>
      </c>
      <c r="K25" s="30">
        <v>1.2230766717859454</v>
      </c>
      <c r="L25" s="31">
        <v>0.14145369324176085</v>
      </c>
      <c r="M25" s="33" t="str">
        <v>**</v>
      </c>
      <c r="N25" s="30"/>
      <c r="O25" s="30">
        <v>-1.3405641970563638</v>
      </c>
      <c r="P25" s="31">
        <v>0.15227159704292392</v>
      </c>
      <c r="Q25" s="33" t="str">
        <v>**</v>
      </c>
      <c r="R25" s="30"/>
      <c r="S25" s="30">
        <v>-2.5312384301731221</v>
      </c>
      <c r="T25" s="31">
        <v>0.26464300105126337</v>
      </c>
      <c r="U25" s="33" t="str">
        <v>**</v>
      </c>
    </row>
    <row r="26" spans="4:21" x14ac:dyDescent="0.25">
      <c r="D26" s="19" t="str" cm="1">
        <f t="array" ref="D26:D46">[1]Sheet1!I26:I46</f>
        <v>兄弟数</v>
      </c>
      <c r="E26" s="19">
        <v>-0.10705058603406199</v>
      </c>
      <c r="F26" s="19">
        <v>2.6622535113993054E-2</v>
      </c>
      <c r="G26" s="19">
        <v>5.7938923373990516E-5</v>
      </c>
      <c r="H26" s="19" t="str">
        <v>**</v>
      </c>
      <c r="J26" s="19" t="s">
        <v>198</v>
      </c>
      <c r="L26" s="24">
        <f>Sheet1!C2</f>
        <v>6232</v>
      </c>
    </row>
    <row r="27" spans="4:21" x14ac:dyDescent="0.25">
      <c r="D27" s="19" t="str">
        <v>父中卒ref</v>
      </c>
      <c r="E27" s="19">
        <v>0</v>
      </c>
      <c r="F27" s="19">
        <v>0</v>
      </c>
      <c r="G27" s="19">
        <v>0</v>
      </c>
      <c r="H27" s="19" t="str">
        <v/>
      </c>
      <c r="J27" s="19" t="s">
        <v>199</v>
      </c>
      <c r="L27" s="24">
        <f>Sheet1!D2</f>
        <v>5502</v>
      </c>
    </row>
    <row r="28" spans="4:21" x14ac:dyDescent="0.25">
      <c r="D28" s="19" t="str">
        <v>父高卒</v>
      </c>
      <c r="E28" s="19">
        <v>0.50504807185509104</v>
      </c>
      <c r="F28" s="19">
        <v>7.5548719562050115E-2</v>
      </c>
      <c r="G28" s="19">
        <v>2.3082277604818795E-11</v>
      </c>
      <c r="H28" s="19" t="str">
        <v>**</v>
      </c>
      <c r="J28" s="19" t="s">
        <v>200</v>
      </c>
      <c r="L28" s="24">
        <f>Sheet1!C3+Sheet1!D3</f>
        <v>-6399.7077595436349</v>
      </c>
    </row>
    <row r="29" spans="4:21" x14ac:dyDescent="0.25">
      <c r="D29" s="19" t="str">
        <v>父大卒</v>
      </c>
      <c r="E29" s="19">
        <v>0.91744533083995439</v>
      </c>
      <c r="F29" s="19">
        <v>0.10279621073018548</v>
      </c>
      <c r="G29" s="19">
        <v>4.4612441182131075E-19</v>
      </c>
      <c r="H29" s="19" t="str">
        <v>**</v>
      </c>
      <c r="J29" s="20" t="s">
        <v>201</v>
      </c>
      <c r="K29" s="21"/>
      <c r="L29" s="21">
        <f>L28*-2+LN(L27+L26)</f>
        <v>12808.785764976756</v>
      </c>
      <c r="M29" s="22"/>
      <c r="N29" s="21"/>
      <c r="O29" s="21"/>
      <c r="P29" s="21"/>
      <c r="Q29" s="22"/>
      <c r="R29" s="21"/>
      <c r="S29" s="21"/>
      <c r="T29" s="21"/>
      <c r="U29" s="22"/>
    </row>
    <row r="30" spans="4:21" x14ac:dyDescent="0.25">
      <c r="D30" s="19" t="str">
        <v>世代40s ref</v>
      </c>
      <c r="E30" s="19">
        <v>0</v>
      </c>
      <c r="F30" s="19">
        <v>0</v>
      </c>
      <c r="G30" s="19">
        <v>0</v>
      </c>
      <c r="H30" s="19" t="str">
        <v/>
      </c>
    </row>
    <row r="31" spans="4:21" x14ac:dyDescent="0.25">
      <c r="D31" s="19" t="str">
        <v xml:space="preserve"> 50s</v>
      </c>
      <c r="E31" s="19">
        <v>0.67173991692584645</v>
      </c>
      <c r="F31" s="19">
        <v>0.10785463950269893</v>
      </c>
      <c r="G31" s="19">
        <v>4.7183425230531093E-10</v>
      </c>
      <c r="H31" s="19" t="str">
        <v>**</v>
      </c>
    </row>
    <row r="32" spans="4:21" x14ac:dyDescent="0.25">
      <c r="D32" s="19" t="str">
        <v xml:space="preserve"> 60s</v>
      </c>
      <c r="E32" s="19">
        <v>0.79861247402649505</v>
      </c>
      <c r="F32" s="19">
        <v>0.12595448358579273</v>
      </c>
      <c r="G32" s="19">
        <v>2.290434439185609E-10</v>
      </c>
      <c r="H32" s="19" t="str">
        <v>**</v>
      </c>
    </row>
    <row r="33" spans="4:8" x14ac:dyDescent="0.25">
      <c r="D33" s="19" t="str">
        <v xml:space="preserve"> 70s</v>
      </c>
      <c r="E33" s="19">
        <v>1.0819615364255248</v>
      </c>
      <c r="F33" s="19">
        <v>0.14607533998746414</v>
      </c>
      <c r="G33" s="19">
        <v>1.2931188904950668E-13</v>
      </c>
      <c r="H33" s="19" t="str">
        <v>**</v>
      </c>
    </row>
    <row r="34" spans="4:8" x14ac:dyDescent="0.25">
      <c r="D34" s="19" t="str">
        <v xml:space="preserve"> 80-90s</v>
      </c>
      <c r="E34" s="19">
        <v>1.020530867890354</v>
      </c>
      <c r="F34" s="19">
        <v>0.18033147204290545</v>
      </c>
      <c r="G34" s="19">
        <v>1.5208514979339528E-8</v>
      </c>
      <c r="H34" s="19" t="str">
        <v>**</v>
      </c>
    </row>
    <row r="35" spans="4:8" x14ac:dyDescent="0.25">
      <c r="D35" s="19">
        <v>0</v>
      </c>
      <c r="E35" s="19">
        <v>0</v>
      </c>
      <c r="F35" s="19">
        <v>0</v>
      </c>
      <c r="G35" s="19">
        <v>0</v>
      </c>
      <c r="H35" s="19" t="str">
        <v/>
      </c>
    </row>
    <row r="36" spans="4:8" x14ac:dyDescent="0.25">
      <c r="D36" s="19" t="str">
        <v>EGP I+II</v>
      </c>
      <c r="E36" s="19">
        <v>1.2215529954721454</v>
      </c>
      <c r="F36" s="19">
        <v>0.40084350539846703</v>
      </c>
      <c r="G36" s="19">
        <v>2.3078721522633333E-3</v>
      </c>
      <c r="H36" s="19" t="str">
        <v>**</v>
      </c>
    </row>
    <row r="37" spans="4:8" x14ac:dyDescent="0.25">
      <c r="D37" s="19" t="str">
        <v xml:space="preserve"> IIIab</v>
      </c>
      <c r="E37" s="19">
        <v>0.90053980982418591</v>
      </c>
      <c r="F37" s="19">
        <v>0.48923713926530904</v>
      </c>
      <c r="G37" s="19">
        <v>6.5665231973057916E-2</v>
      </c>
      <c r="H37" s="19" t="str">
        <v>†</v>
      </c>
    </row>
    <row r="38" spans="4:8" x14ac:dyDescent="0.25">
      <c r="D38" s="19" t="str">
        <v xml:space="preserve"> IVab</v>
      </c>
      <c r="E38" s="19">
        <v>1.2391524746484608</v>
      </c>
      <c r="F38" s="19">
        <v>0.398629133962636</v>
      </c>
      <c r="G38" s="19">
        <v>1.8801759885275747E-3</v>
      </c>
      <c r="H38" s="19" t="str">
        <v>**</v>
      </c>
    </row>
    <row r="39" spans="4:8" x14ac:dyDescent="0.25">
      <c r="D39" s="19" t="str">
        <v xml:space="preserve"> V+VI+VIIab+IVc</v>
      </c>
      <c r="E39" s="19">
        <v>0</v>
      </c>
      <c r="F39" s="19">
        <v>0</v>
      </c>
      <c r="G39" s="19">
        <v>0</v>
      </c>
      <c r="H39" s="19" t="str">
        <v/>
      </c>
    </row>
    <row r="40" spans="4:8" x14ac:dyDescent="0.25">
      <c r="D40" s="19" t="str">
        <v xml:space="preserve"> job+abs</v>
      </c>
      <c r="E40" s="19">
        <v>1.1341719718018841</v>
      </c>
      <c r="F40" s="19">
        <v>0.50159040186086379</v>
      </c>
      <c r="G40" s="19">
        <v>2.3749867073754399E-2</v>
      </c>
      <c r="H40" s="19" t="str">
        <v>*</v>
      </c>
    </row>
    <row r="41" spans="4:8" x14ac:dyDescent="0.25">
      <c r="D41" s="19" t="str">
        <v>世代× I+II</v>
      </c>
      <c r="E41" s="19">
        <v>-6.5995647913093619E-2</v>
      </c>
      <c r="F41" s="19">
        <v>6.8573372690360249E-2</v>
      </c>
      <c r="G41" s="19">
        <v>0.33584407096695557</v>
      </c>
      <c r="H41" s="19" t="str">
        <v/>
      </c>
    </row>
    <row r="42" spans="4:8" x14ac:dyDescent="0.25">
      <c r="D42" s="19" t="str">
        <v xml:space="preserve"> IIIab</v>
      </c>
      <c r="E42" s="19">
        <v>-5.4119504021520902E-2</v>
      </c>
      <c r="F42" s="19">
        <v>8.0835219678285622E-2</v>
      </c>
      <c r="G42" s="19">
        <v>0.50317402123735633</v>
      </c>
      <c r="H42" s="19" t="str">
        <v/>
      </c>
    </row>
    <row r="43" spans="4:8" x14ac:dyDescent="0.25">
      <c r="D43" s="19" t="str">
        <v xml:space="preserve"> IVab</v>
      </c>
      <c r="E43" s="19">
        <v>-0.14001248278823653</v>
      </c>
      <c r="F43" s="19">
        <v>6.833542065539909E-2</v>
      </c>
      <c r="G43" s="19">
        <v>4.0471837948889901E-2</v>
      </c>
      <c r="H43" s="19" t="str">
        <v>*</v>
      </c>
    </row>
    <row r="44" spans="4:8" x14ac:dyDescent="0.25">
      <c r="D44" s="19" t="str">
        <v xml:space="preserve"> V+VI+VIIab+IVc</v>
      </c>
      <c r="E44" s="19">
        <v>0</v>
      </c>
      <c r="F44" s="19">
        <v>0</v>
      </c>
      <c r="G44" s="19">
        <v>0</v>
      </c>
      <c r="H44" s="19" t="str">
        <v/>
      </c>
    </row>
    <row r="45" spans="4:8" x14ac:dyDescent="0.25">
      <c r="D45" s="19" t="str">
        <v xml:space="preserve"> job+abs</v>
      </c>
      <c r="E45" s="19">
        <v>-0.23753407487401126</v>
      </c>
      <c r="F45" s="19">
        <v>8.5642695185842638E-2</v>
      </c>
      <c r="G45" s="19">
        <v>5.5448761313646282E-3</v>
      </c>
      <c r="H45" s="19" t="str">
        <v>**</v>
      </c>
    </row>
    <row r="46" spans="4:8" x14ac:dyDescent="0.25">
      <c r="D46" s="19" t="str">
        <v>定数</v>
      </c>
      <c r="E46" s="19">
        <v>-1.3405641970563638</v>
      </c>
      <c r="F46" s="19">
        <v>0.15227159704292392</v>
      </c>
      <c r="G46" s="19">
        <v>1.3229475523177017E-18</v>
      </c>
      <c r="H46" s="19" t="str">
        <v>**</v>
      </c>
    </row>
    <row r="47" spans="4:8" x14ac:dyDescent="0.25">
      <c r="D47" s="19" t="str" cm="1">
        <f t="array" ref="D47:D67">[1]Sheet1!I47:I67</f>
        <v>兄弟数</v>
      </c>
      <c r="E47" s="19">
        <v>-0.3542386139944888</v>
      </c>
      <c r="F47" s="19">
        <v>4.5247728609165164E-2</v>
      </c>
      <c r="G47" s="19">
        <v>4.9227182350709075E-15</v>
      </c>
      <c r="H47" s="19" t="str">
        <v>**</v>
      </c>
    </row>
    <row r="48" spans="4:8" x14ac:dyDescent="0.25">
      <c r="D48" s="19" t="str">
        <v>父中卒ref</v>
      </c>
      <c r="E48" s="19">
        <v>0</v>
      </c>
      <c r="F48" s="19">
        <v>0</v>
      </c>
      <c r="G48" s="19">
        <v>0</v>
      </c>
      <c r="H48" s="19" t="str">
        <v/>
      </c>
    </row>
    <row r="49" spans="4:8" x14ac:dyDescent="0.25">
      <c r="D49" s="19" t="str">
        <v>父高卒</v>
      </c>
      <c r="E49" s="19">
        <v>0.89097272683980322</v>
      </c>
      <c r="F49" s="19">
        <v>0.1233430880034056</v>
      </c>
      <c r="G49" s="19">
        <v>5.0654421741319605E-13</v>
      </c>
      <c r="H49" s="19" t="str">
        <v>**</v>
      </c>
    </row>
    <row r="50" spans="4:8" x14ac:dyDescent="0.25">
      <c r="D50" s="19" t="str">
        <v>父大卒</v>
      </c>
      <c r="E50" s="19">
        <v>2.0344063256730252</v>
      </c>
      <c r="F50" s="19">
        <v>0.13738748121193758</v>
      </c>
      <c r="G50" s="19">
        <v>1.3044037328008402E-49</v>
      </c>
      <c r="H50" s="19" t="str">
        <v>**</v>
      </c>
    </row>
    <row r="51" spans="4:8" x14ac:dyDescent="0.25">
      <c r="D51" s="19" t="str">
        <v>世代40s ref</v>
      </c>
      <c r="E51" s="19">
        <v>0</v>
      </c>
      <c r="F51" s="19">
        <v>0</v>
      </c>
      <c r="G51" s="19">
        <v>0</v>
      </c>
      <c r="H51" s="19" t="str">
        <v/>
      </c>
    </row>
    <row r="52" spans="4:8" x14ac:dyDescent="0.25">
      <c r="D52" s="19" t="str">
        <v xml:space="preserve"> 50s</v>
      </c>
      <c r="E52" s="19">
        <v>0.75076024353956017</v>
      </c>
      <c r="F52" s="19">
        <v>0.17648319526183104</v>
      </c>
      <c r="G52" s="19">
        <v>2.0998141440820191E-5</v>
      </c>
      <c r="H52" s="19" t="str">
        <v>**</v>
      </c>
    </row>
    <row r="53" spans="4:8" x14ac:dyDescent="0.25">
      <c r="D53" s="19" t="str">
        <v xml:space="preserve"> 60s</v>
      </c>
      <c r="E53" s="19">
        <v>0.80611368455209842</v>
      </c>
      <c r="F53" s="19">
        <v>0.20563776244054718</v>
      </c>
      <c r="G53" s="19">
        <v>8.8524572211071923E-5</v>
      </c>
      <c r="H53" s="19" t="str">
        <v>**</v>
      </c>
    </row>
    <row r="54" spans="4:8" x14ac:dyDescent="0.25">
      <c r="D54" s="19" t="str">
        <v xml:space="preserve"> 70s</v>
      </c>
      <c r="E54" s="19">
        <v>1.2960162090483165</v>
      </c>
      <c r="F54" s="19">
        <v>0.24341604701775979</v>
      </c>
      <c r="G54" s="19">
        <v>1.0135135231784099E-7</v>
      </c>
      <c r="H54" s="19" t="str">
        <v>**</v>
      </c>
    </row>
    <row r="55" spans="4:8" x14ac:dyDescent="0.25">
      <c r="D55" s="19" t="str">
        <v xml:space="preserve"> 80-90s</v>
      </c>
      <c r="E55" s="19">
        <v>1.6595199305639046</v>
      </c>
      <c r="F55" s="19">
        <v>0.29306538961714296</v>
      </c>
      <c r="G55" s="19">
        <v>1.4907313930533359E-8</v>
      </c>
      <c r="H55" s="19" t="str">
        <v>**</v>
      </c>
    </row>
    <row r="56" spans="4:8" x14ac:dyDescent="0.25">
      <c r="D56" s="19">
        <v>0</v>
      </c>
      <c r="E56" s="19">
        <v>0</v>
      </c>
      <c r="F56" s="19">
        <v>0</v>
      </c>
      <c r="G56" s="19">
        <v>0</v>
      </c>
      <c r="H56" s="19" t="str">
        <v/>
      </c>
    </row>
    <row r="57" spans="4:8" x14ac:dyDescent="0.25">
      <c r="D57" s="19" t="str">
        <v>EGP I+II</v>
      </c>
      <c r="E57" s="19">
        <v>1.0874636741811785</v>
      </c>
      <c r="F57" s="19">
        <v>0.58574701009165386</v>
      </c>
      <c r="G57" s="19">
        <v>6.3376403411168861E-2</v>
      </c>
      <c r="H57" s="19" t="str">
        <v>†</v>
      </c>
    </row>
    <row r="58" spans="4:8" x14ac:dyDescent="0.25">
      <c r="D58" s="19" t="str">
        <v xml:space="preserve"> IIIab</v>
      </c>
      <c r="E58" s="19">
        <v>0.83038307107234655</v>
      </c>
      <c r="F58" s="19">
        <v>0.70711391009126645</v>
      </c>
      <c r="G58" s="19">
        <v>0.24026400781276427</v>
      </c>
      <c r="H58" s="19" t="str">
        <v/>
      </c>
    </row>
    <row r="59" spans="4:8" x14ac:dyDescent="0.25">
      <c r="D59" s="19" t="str">
        <v xml:space="preserve"> IVab</v>
      </c>
      <c r="E59" s="19">
        <v>1.4998774580927552</v>
      </c>
      <c r="F59" s="19">
        <v>0.65679066918517126</v>
      </c>
      <c r="G59" s="19">
        <v>2.2392337440367879E-2</v>
      </c>
      <c r="H59" s="19" t="str">
        <v>*</v>
      </c>
    </row>
    <row r="60" spans="4:8" x14ac:dyDescent="0.25">
      <c r="D60" s="19" t="str">
        <v xml:space="preserve"> V+VI+VIIab+IVc</v>
      </c>
      <c r="E60" s="19">
        <v>0</v>
      </c>
      <c r="F60" s="19">
        <v>0</v>
      </c>
      <c r="G60" s="19">
        <v>0</v>
      </c>
      <c r="H60" s="19" t="str">
        <v/>
      </c>
    </row>
    <row r="61" spans="4:8" x14ac:dyDescent="0.25">
      <c r="D61" s="19" t="str">
        <v xml:space="preserve"> job+abs</v>
      </c>
      <c r="E61" s="19">
        <v>1.5296554141429262</v>
      </c>
      <c r="F61" s="19">
        <v>0.76778092882017857</v>
      </c>
      <c r="G61" s="19">
        <v>4.6337370539112688E-2</v>
      </c>
      <c r="H61" s="19" t="str">
        <v>*</v>
      </c>
    </row>
    <row r="62" spans="4:8" x14ac:dyDescent="0.25">
      <c r="D62" s="19" t="str">
        <v>世代× I+II</v>
      </c>
      <c r="E62" s="19">
        <v>6.3982223846392142E-2</v>
      </c>
      <c r="F62" s="19">
        <v>9.2258944398983259E-2</v>
      </c>
      <c r="G62" s="19">
        <v>0.48799143380993448</v>
      </c>
      <c r="H62" s="19" t="str">
        <v/>
      </c>
    </row>
    <row r="63" spans="4:8" x14ac:dyDescent="0.25">
      <c r="D63" s="19" t="str">
        <v xml:space="preserve"> IIIab</v>
      </c>
      <c r="E63" s="19">
        <v>5.0927531943250677E-2</v>
      </c>
      <c r="F63" s="19">
        <v>0.1092085554033458</v>
      </c>
      <c r="G63" s="19">
        <v>0.64097730093701699</v>
      </c>
      <c r="H63" s="19" t="str">
        <v/>
      </c>
    </row>
    <row r="64" spans="4:8" x14ac:dyDescent="0.25">
      <c r="D64" s="19" t="str">
        <v xml:space="preserve"> IVab</v>
      </c>
      <c r="E64" s="19">
        <v>-0.12572663812907051</v>
      </c>
      <c r="F64" s="19">
        <v>0.10428176667968357</v>
      </c>
      <c r="G64" s="19">
        <v>0.22795496421043876</v>
      </c>
      <c r="H64" s="19" t="str">
        <v/>
      </c>
    </row>
    <row r="65" spans="4:8" x14ac:dyDescent="0.25">
      <c r="D65" s="19" t="str">
        <v xml:space="preserve"> V+VI+VIIab+IVc</v>
      </c>
      <c r="E65" s="19">
        <v>0</v>
      </c>
      <c r="F65" s="19">
        <v>0</v>
      </c>
      <c r="G65" s="19">
        <v>0</v>
      </c>
      <c r="H65" s="19" t="str">
        <v/>
      </c>
    </row>
    <row r="66" spans="4:8" x14ac:dyDescent="0.25">
      <c r="D66" s="19" t="str">
        <v xml:space="preserve"> job+abs</v>
      </c>
      <c r="E66" s="19">
        <v>-0.23558862091966948</v>
      </c>
      <c r="F66" s="19">
        <v>0.12064670852750979</v>
      </c>
      <c r="G66" s="19">
        <v>5.0853391520078894E-2</v>
      </c>
      <c r="H66" s="19" t="str">
        <v>†</v>
      </c>
    </row>
    <row r="67" spans="4:8" x14ac:dyDescent="0.25">
      <c r="D67" s="19" t="str">
        <v>定数</v>
      </c>
      <c r="E67" s="19">
        <v>-2.5312384301731221</v>
      </c>
      <c r="F67" s="19">
        <v>0.26464300105126337</v>
      </c>
      <c r="G67" s="19">
        <v>1.1249645336775741E-21</v>
      </c>
      <c r="H67" s="19" t="str">
        <v>**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3"/>
  <sheetViews>
    <sheetView tabSelected="1" topLeftCell="K103" zoomScale="120" zoomScaleNormal="120" workbookViewId="0">
      <selection activeCell="O130" sqref="O130"/>
    </sheetView>
  </sheetViews>
  <sheetFormatPr defaultRowHeight="15" x14ac:dyDescent="0.25"/>
  <cols>
    <col min="5" max="5" width="11.7109375" customWidth="1"/>
  </cols>
  <sheetData>
    <row r="1" spans="1:36" x14ac:dyDescent="0.25">
      <c r="A1" t="s">
        <v>52</v>
      </c>
      <c r="H1">
        <f>C22*8+C17</f>
        <v>-0.42048457927508243</v>
      </c>
      <c r="J1">
        <v>1</v>
      </c>
      <c r="Q1">
        <v>2</v>
      </c>
      <c r="X1">
        <v>3</v>
      </c>
      <c r="AE1">
        <v>4</v>
      </c>
    </row>
    <row r="2" spans="1:36" x14ac:dyDescent="0.25">
      <c r="B2" t="s">
        <v>53</v>
      </c>
      <c r="C2">
        <v>6232</v>
      </c>
      <c r="D2">
        <v>5502</v>
      </c>
    </row>
    <row r="3" spans="1:36" x14ac:dyDescent="0.25">
      <c r="B3" t="s">
        <v>54</v>
      </c>
      <c r="C3">
        <v>-1536.1391280839439</v>
      </c>
      <c r="D3">
        <v>-4863.5686314596915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Q3">
        <v>4</v>
      </c>
      <c r="R3">
        <v>5</v>
      </c>
      <c r="S3">
        <v>6</v>
      </c>
      <c r="T3">
        <v>7</v>
      </c>
      <c r="U3">
        <v>8</v>
      </c>
      <c r="V3">
        <v>9</v>
      </c>
      <c r="X3">
        <v>4</v>
      </c>
      <c r="Y3">
        <v>5</v>
      </c>
      <c r="Z3">
        <v>6</v>
      </c>
      <c r="AA3">
        <v>7</v>
      </c>
      <c r="AB3">
        <v>8</v>
      </c>
      <c r="AC3">
        <v>9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</row>
    <row r="4" spans="1:36" x14ac:dyDescent="0.25">
      <c r="C4" t="s">
        <v>121</v>
      </c>
      <c r="D4" t="s">
        <v>122</v>
      </c>
      <c r="E4" t="s">
        <v>123</v>
      </c>
      <c r="F4" t="s">
        <v>124</v>
      </c>
    </row>
    <row r="5" spans="1:36" s="1" customFormat="1" x14ac:dyDescent="0.25">
      <c r="A5" s="1" t="s">
        <v>55</v>
      </c>
      <c r="B5" s="1" t="s">
        <v>58</v>
      </c>
      <c r="C5" s="1">
        <v>-0.2029396434495386</v>
      </c>
      <c r="D5" s="1">
        <v>2.5371019493158151E-2</v>
      </c>
      <c r="E5" s="1">
        <v>-7.9988761785574169</v>
      </c>
      <c r="F5" s="1">
        <v>1.2555990140499092E-15</v>
      </c>
      <c r="I5" s="1" t="s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Q5" s="1">
        <v>2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X5" s="1">
        <v>2</v>
      </c>
      <c r="Y5" s="1">
        <v>2</v>
      </c>
      <c r="Z5" s="1">
        <v>2</v>
      </c>
      <c r="AA5" s="1">
        <v>2</v>
      </c>
      <c r="AB5" s="1">
        <v>2</v>
      </c>
      <c r="AC5" s="1">
        <v>2</v>
      </c>
      <c r="AE5" s="1">
        <v>2</v>
      </c>
      <c r="AF5" s="1">
        <v>2</v>
      </c>
      <c r="AG5" s="1">
        <v>2</v>
      </c>
      <c r="AH5" s="1">
        <v>2</v>
      </c>
      <c r="AI5" s="1">
        <v>2</v>
      </c>
      <c r="AJ5" s="1">
        <v>2</v>
      </c>
    </row>
    <row r="6" spans="1:36" x14ac:dyDescent="0.25">
      <c r="A6" t="s">
        <v>55</v>
      </c>
      <c r="B6" t="s">
        <v>59</v>
      </c>
      <c r="C6">
        <v>0</v>
      </c>
      <c r="I6" t="s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55</v>
      </c>
      <c r="B7" t="s">
        <v>60</v>
      </c>
      <c r="C7">
        <v>1.0640685407605641</v>
      </c>
      <c r="D7">
        <v>0.13351570635328691</v>
      </c>
      <c r="E7">
        <v>7.9696132374494137</v>
      </c>
      <c r="F7">
        <v>1.5917172282682681E-15</v>
      </c>
      <c r="I7" t="s">
        <v>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55</v>
      </c>
      <c r="B8" t="s">
        <v>61</v>
      </c>
      <c r="C8">
        <v>1.4580360534794317</v>
      </c>
      <c r="D8">
        <v>0.23472684794259374</v>
      </c>
      <c r="E8">
        <v>6.2116288198784062</v>
      </c>
      <c r="F8">
        <v>5.2438176525597343E-10</v>
      </c>
      <c r="I8" t="s">
        <v>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 x14ac:dyDescent="0.25">
      <c r="A9" t="s">
        <v>55</v>
      </c>
      <c r="B9" t="s">
        <v>62</v>
      </c>
      <c r="C9">
        <v>0</v>
      </c>
      <c r="I9" t="s">
        <v>6</v>
      </c>
      <c r="J9" cm="1">
        <f t="array" ref="J9:N13">_xlfn.MUNIT(5)</f>
        <v>1</v>
      </c>
      <c r="K9">
        <v>0</v>
      </c>
      <c r="L9">
        <v>0</v>
      </c>
      <c r="M9">
        <v>0</v>
      </c>
      <c r="N9">
        <v>0</v>
      </c>
      <c r="Q9" cm="1">
        <f t="array" ref="Q9:U13">_xlfn.MUNIT(5)</f>
        <v>1</v>
      </c>
      <c r="R9">
        <v>0</v>
      </c>
      <c r="S9">
        <v>0</v>
      </c>
      <c r="T9">
        <v>0</v>
      </c>
      <c r="U9">
        <v>0</v>
      </c>
      <c r="X9" cm="1">
        <f t="array" ref="X9:AB13">_xlfn.MUNIT(5)</f>
        <v>1</v>
      </c>
      <c r="Y9">
        <v>0</v>
      </c>
      <c r="Z9">
        <v>0</v>
      </c>
      <c r="AA9">
        <v>0</v>
      </c>
      <c r="AB9">
        <v>0</v>
      </c>
      <c r="AE9" cm="1">
        <f t="array" ref="AE9:AI13">_xlfn.MUNIT(5)</f>
        <v>1</v>
      </c>
      <c r="AF9">
        <v>0</v>
      </c>
      <c r="AG9">
        <v>0</v>
      </c>
      <c r="AH9">
        <v>0</v>
      </c>
      <c r="AI9">
        <v>0</v>
      </c>
    </row>
    <row r="10" spans="1:36" x14ac:dyDescent="0.25">
      <c r="A10" t="s">
        <v>55</v>
      </c>
      <c r="B10" t="s">
        <v>63</v>
      </c>
      <c r="C10">
        <v>1.6293850124711591</v>
      </c>
      <c r="D10">
        <v>0.14093582560850312</v>
      </c>
      <c r="E10">
        <v>11.561184002975414</v>
      </c>
      <c r="F10">
        <v>6.4808967584562107E-31</v>
      </c>
      <c r="I10" t="s">
        <v>7</v>
      </c>
      <c r="J10">
        <v>0</v>
      </c>
      <c r="K10">
        <v>1</v>
      </c>
      <c r="L10">
        <v>0</v>
      </c>
      <c r="M10">
        <v>0</v>
      </c>
      <c r="N10">
        <v>0</v>
      </c>
      <c r="Q10">
        <v>0</v>
      </c>
      <c r="R10">
        <v>1</v>
      </c>
      <c r="S10">
        <v>0</v>
      </c>
      <c r="T10">
        <v>0</v>
      </c>
      <c r="U10">
        <v>0</v>
      </c>
      <c r="X10">
        <v>0</v>
      </c>
      <c r="Y10">
        <v>1</v>
      </c>
      <c r="Z10">
        <v>0</v>
      </c>
      <c r="AA10">
        <v>0</v>
      </c>
      <c r="AB10">
        <v>0</v>
      </c>
      <c r="AE10">
        <v>0</v>
      </c>
      <c r="AF10">
        <v>1</v>
      </c>
      <c r="AG10">
        <v>0</v>
      </c>
      <c r="AH10">
        <v>0</v>
      </c>
      <c r="AI10">
        <v>0</v>
      </c>
    </row>
    <row r="11" spans="1:36" x14ac:dyDescent="0.25">
      <c r="A11" t="s">
        <v>55</v>
      </c>
      <c r="B11" t="s">
        <v>64</v>
      </c>
      <c r="C11">
        <v>2.874195830920558</v>
      </c>
      <c r="D11">
        <v>0.28132581966818648</v>
      </c>
      <c r="E11">
        <v>10.216608750347078</v>
      </c>
      <c r="F11">
        <v>1.6708422402784453E-24</v>
      </c>
      <c r="I11" t="s">
        <v>8</v>
      </c>
      <c r="J11">
        <v>0</v>
      </c>
      <c r="K11">
        <v>0</v>
      </c>
      <c r="L11">
        <v>1</v>
      </c>
      <c r="M11">
        <v>0</v>
      </c>
      <c r="N11">
        <v>0</v>
      </c>
      <c r="Q11">
        <v>0</v>
      </c>
      <c r="R11">
        <v>0</v>
      </c>
      <c r="S11">
        <v>1</v>
      </c>
      <c r="T11">
        <v>0</v>
      </c>
      <c r="U11">
        <v>0</v>
      </c>
      <c r="X11">
        <v>0</v>
      </c>
      <c r="Y11">
        <v>0</v>
      </c>
      <c r="Z11">
        <v>1</v>
      </c>
      <c r="AA11">
        <v>0</v>
      </c>
      <c r="AB11">
        <v>0</v>
      </c>
      <c r="AE11">
        <v>0</v>
      </c>
      <c r="AF11">
        <v>0</v>
      </c>
      <c r="AG11">
        <v>1</v>
      </c>
      <c r="AH11">
        <v>0</v>
      </c>
      <c r="AI11">
        <v>0</v>
      </c>
    </row>
    <row r="12" spans="1:36" x14ac:dyDescent="0.25">
      <c r="A12" t="s">
        <v>55</v>
      </c>
      <c r="B12" t="s">
        <v>65</v>
      </c>
      <c r="C12">
        <v>2.3913043051013898</v>
      </c>
      <c r="D12">
        <v>0.27660404513321446</v>
      </c>
      <c r="E12">
        <v>8.6452253579651046</v>
      </c>
      <c r="F12">
        <v>5.3699209317510671E-18</v>
      </c>
      <c r="I12" t="s">
        <v>9</v>
      </c>
      <c r="J12">
        <v>0</v>
      </c>
      <c r="K12">
        <v>0</v>
      </c>
      <c r="L12">
        <v>0</v>
      </c>
      <c r="M12">
        <v>1</v>
      </c>
      <c r="N12">
        <v>0</v>
      </c>
      <c r="Q12">
        <v>0</v>
      </c>
      <c r="R12">
        <v>0</v>
      </c>
      <c r="S12">
        <v>0</v>
      </c>
      <c r="T12">
        <v>1</v>
      </c>
      <c r="U12">
        <v>0</v>
      </c>
      <c r="X12">
        <v>0</v>
      </c>
      <c r="Y12">
        <v>0</v>
      </c>
      <c r="Z12">
        <v>0</v>
      </c>
      <c r="AA12">
        <v>1</v>
      </c>
      <c r="AB12">
        <v>0</v>
      </c>
      <c r="AE12">
        <v>0</v>
      </c>
      <c r="AF12">
        <v>0</v>
      </c>
      <c r="AG12">
        <v>0</v>
      </c>
      <c r="AH12">
        <v>1</v>
      </c>
      <c r="AI12">
        <v>0</v>
      </c>
    </row>
    <row r="13" spans="1:36" x14ac:dyDescent="0.25">
      <c r="A13" t="s">
        <v>55</v>
      </c>
      <c r="B13" t="s">
        <v>66</v>
      </c>
      <c r="C13">
        <v>2.4848282597491913</v>
      </c>
      <c r="D13">
        <v>0.39068580189771301</v>
      </c>
      <c r="E13">
        <v>6.3601703662621301</v>
      </c>
      <c r="F13">
        <v>2.0153009909607017E-10</v>
      </c>
      <c r="I13" t="s">
        <v>10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</row>
    <row r="14" spans="1:36" x14ac:dyDescent="0.25">
      <c r="A14" t="s">
        <v>55</v>
      </c>
      <c r="B14" t="s">
        <v>67</v>
      </c>
      <c r="C14">
        <v>0</v>
      </c>
    </row>
    <row r="15" spans="1:36" x14ac:dyDescent="0.25">
      <c r="A15" t="s">
        <v>55</v>
      </c>
      <c r="B15" t="s">
        <v>68</v>
      </c>
      <c r="C15">
        <v>3.0025493327800006</v>
      </c>
      <c r="D15">
        <v>1.3989821964732652</v>
      </c>
      <c r="E15">
        <v>2.1462384155775638</v>
      </c>
      <c r="F15">
        <v>3.1853962137110586E-2</v>
      </c>
      <c r="I15" t="s">
        <v>11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t="s">
        <v>55</v>
      </c>
      <c r="B16" t="s">
        <v>69</v>
      </c>
      <c r="C16">
        <v>0.25615819485805469</v>
      </c>
      <c r="D16">
        <v>1.220348998210155</v>
      </c>
      <c r="E16">
        <v>0.20990568700736703</v>
      </c>
      <c r="F16">
        <v>0.83374128352260723</v>
      </c>
      <c r="I16" t="s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t="s">
        <v>55</v>
      </c>
      <c r="B17" t="s">
        <v>70</v>
      </c>
      <c r="C17">
        <v>1.6322587315326944</v>
      </c>
      <c r="D17">
        <v>0.58501281523275417</v>
      </c>
      <c r="E17">
        <v>2.790124744332791</v>
      </c>
      <c r="F17">
        <v>5.2687737190216521E-3</v>
      </c>
      <c r="I17" t="s">
        <v>13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t="s">
        <v>55</v>
      </c>
      <c r="B18" t="s">
        <v>71</v>
      </c>
      <c r="C18">
        <v>0</v>
      </c>
      <c r="I18" t="s">
        <v>14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</row>
    <row r="19" spans="1:36" x14ac:dyDescent="0.25">
      <c r="A19" t="s">
        <v>55</v>
      </c>
      <c r="B19" t="s">
        <v>72</v>
      </c>
      <c r="C19">
        <v>0.75071677041687757</v>
      </c>
      <c r="D19">
        <v>0.55866728527263831</v>
      </c>
      <c r="E19">
        <v>1.3437636142422698</v>
      </c>
      <c r="F19">
        <v>0.17902483901280761</v>
      </c>
      <c r="I19" t="s">
        <v>15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t="s">
        <v>55</v>
      </c>
      <c r="B20" t="s">
        <v>73</v>
      </c>
      <c r="C20">
        <v>-0.15880867413772903</v>
      </c>
      <c r="D20">
        <v>0.30548084169984518</v>
      </c>
      <c r="E20">
        <v>-0.51986459528538587</v>
      </c>
      <c r="F20">
        <v>0.60315795347468781</v>
      </c>
      <c r="I20" t="s">
        <v>16</v>
      </c>
      <c r="J20">
        <f>J15*J$3</f>
        <v>4</v>
      </c>
      <c r="K20">
        <f t="shared" ref="K20:O20" si="0">K15*K$3</f>
        <v>5</v>
      </c>
      <c r="L20">
        <f t="shared" si="0"/>
        <v>6</v>
      </c>
      <c r="M20">
        <f t="shared" si="0"/>
        <v>7</v>
      </c>
      <c r="N20">
        <f t="shared" si="0"/>
        <v>8</v>
      </c>
      <c r="O20">
        <f t="shared" si="0"/>
        <v>9</v>
      </c>
      <c r="Q20">
        <f>Q15*Q$3</f>
        <v>0</v>
      </c>
      <c r="R20">
        <f t="shared" ref="R20:V21" si="1">R15*R$3</f>
        <v>0</v>
      </c>
      <c r="S20">
        <f t="shared" si="1"/>
        <v>0</v>
      </c>
      <c r="T20">
        <f t="shared" si="1"/>
        <v>0</v>
      </c>
      <c r="U20">
        <f t="shared" si="1"/>
        <v>0</v>
      </c>
      <c r="V20">
        <f t="shared" si="1"/>
        <v>0</v>
      </c>
      <c r="X20">
        <f>X15*X$3</f>
        <v>0</v>
      </c>
      <c r="Y20">
        <f t="shared" ref="Y20:AC20" si="2">Y15*Y$3</f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0</v>
      </c>
      <c r="AE20">
        <f>AE15*AE$3</f>
        <v>0</v>
      </c>
      <c r="AF20">
        <f t="shared" ref="AF20:AJ20" si="3">AF15*AF$3</f>
        <v>0</v>
      </c>
      <c r="AG20">
        <f t="shared" si="3"/>
        <v>0</v>
      </c>
      <c r="AH20">
        <f t="shared" si="3"/>
        <v>0</v>
      </c>
      <c r="AI20">
        <f t="shared" si="3"/>
        <v>0</v>
      </c>
      <c r="AJ20">
        <f t="shared" si="3"/>
        <v>0</v>
      </c>
    </row>
    <row r="21" spans="1:36" x14ac:dyDescent="0.25">
      <c r="A21" t="s">
        <v>55</v>
      </c>
      <c r="B21" t="s">
        <v>74</v>
      </c>
      <c r="C21">
        <v>0.16597760399133485</v>
      </c>
      <c r="D21">
        <v>0.27636958500605857</v>
      </c>
      <c r="E21">
        <v>0.60056392959339677</v>
      </c>
      <c r="F21">
        <v>0.54813046866582482</v>
      </c>
      <c r="I21" t="s">
        <v>12</v>
      </c>
      <c r="J21">
        <f t="shared" ref="J21:O24" si="4">J16*J$3</f>
        <v>0</v>
      </c>
      <c r="K21">
        <f t="shared" si="4"/>
        <v>0</v>
      </c>
      <c r="L21">
        <f t="shared" si="4"/>
        <v>0</v>
      </c>
      <c r="M21">
        <f t="shared" si="4"/>
        <v>0</v>
      </c>
      <c r="N21">
        <f t="shared" si="4"/>
        <v>0</v>
      </c>
      <c r="O21">
        <f t="shared" si="4"/>
        <v>0</v>
      </c>
      <c r="Q21">
        <f>Q16*Q$3</f>
        <v>4</v>
      </c>
      <c r="R21">
        <f t="shared" si="1"/>
        <v>5</v>
      </c>
      <c r="S21">
        <f t="shared" si="1"/>
        <v>6</v>
      </c>
      <c r="T21">
        <f t="shared" si="1"/>
        <v>7</v>
      </c>
      <c r="U21">
        <f t="shared" si="1"/>
        <v>8</v>
      </c>
      <c r="V21">
        <f t="shared" si="1"/>
        <v>9</v>
      </c>
      <c r="X21">
        <f t="shared" ref="X21:AC23" si="5">X16*X$3</f>
        <v>0</v>
      </c>
      <c r="Y21">
        <f t="shared" si="5"/>
        <v>0</v>
      </c>
      <c r="Z21">
        <f t="shared" si="5"/>
        <v>0</v>
      </c>
      <c r="AA21">
        <f t="shared" si="5"/>
        <v>0</v>
      </c>
      <c r="AB21">
        <f t="shared" si="5"/>
        <v>0</v>
      </c>
      <c r="AC21">
        <f t="shared" si="5"/>
        <v>0</v>
      </c>
      <c r="AE21">
        <f t="shared" ref="AE21:AJ23" si="6">AE16*AE$3</f>
        <v>0</v>
      </c>
      <c r="AF21">
        <f t="shared" si="6"/>
        <v>0</v>
      </c>
      <c r="AG21">
        <f t="shared" si="6"/>
        <v>0</v>
      </c>
      <c r="AH21">
        <f t="shared" si="6"/>
        <v>0</v>
      </c>
      <c r="AI21">
        <f t="shared" si="6"/>
        <v>0</v>
      </c>
      <c r="AJ21">
        <f t="shared" si="6"/>
        <v>0</v>
      </c>
    </row>
    <row r="22" spans="1:36" x14ac:dyDescent="0.25">
      <c r="A22" t="s">
        <v>55</v>
      </c>
      <c r="B22" t="s">
        <v>75</v>
      </c>
      <c r="C22">
        <v>-0.2565929138509721</v>
      </c>
      <c r="D22">
        <v>0.12826466288466357</v>
      </c>
      <c r="E22">
        <v>-2.0004957568219872</v>
      </c>
      <c r="F22">
        <v>4.5446757649072134E-2</v>
      </c>
      <c r="I22" t="s">
        <v>13</v>
      </c>
      <c r="J22">
        <f t="shared" si="4"/>
        <v>0</v>
      </c>
      <c r="K22">
        <f t="shared" si="4"/>
        <v>0</v>
      </c>
      <c r="L22">
        <f t="shared" si="4"/>
        <v>0</v>
      </c>
      <c r="M22">
        <f t="shared" si="4"/>
        <v>0</v>
      </c>
      <c r="N22">
        <f t="shared" si="4"/>
        <v>0</v>
      </c>
      <c r="O22">
        <f t="shared" si="4"/>
        <v>0</v>
      </c>
      <c r="Q22">
        <f t="shared" ref="Q22:V23" si="7">Q17*Q$3</f>
        <v>0</v>
      </c>
      <c r="R22">
        <f t="shared" si="7"/>
        <v>0</v>
      </c>
      <c r="S22">
        <f t="shared" si="7"/>
        <v>0</v>
      </c>
      <c r="T22">
        <f t="shared" si="7"/>
        <v>0</v>
      </c>
      <c r="U22">
        <f t="shared" si="7"/>
        <v>0</v>
      </c>
      <c r="V22">
        <f t="shared" si="7"/>
        <v>0</v>
      </c>
      <c r="X22">
        <f t="shared" si="5"/>
        <v>4</v>
      </c>
      <c r="Y22">
        <f t="shared" si="5"/>
        <v>5</v>
      </c>
      <c r="Z22">
        <f t="shared" si="5"/>
        <v>6</v>
      </c>
      <c r="AA22">
        <f t="shared" si="5"/>
        <v>7</v>
      </c>
      <c r="AB22">
        <f t="shared" si="5"/>
        <v>8</v>
      </c>
      <c r="AC22">
        <f t="shared" si="5"/>
        <v>9</v>
      </c>
      <c r="AE22">
        <f t="shared" si="6"/>
        <v>0</v>
      </c>
      <c r="AF22">
        <f t="shared" si="6"/>
        <v>0</v>
      </c>
      <c r="AG22">
        <f t="shared" si="6"/>
        <v>0</v>
      </c>
      <c r="AH22">
        <f t="shared" si="6"/>
        <v>0</v>
      </c>
      <c r="AI22">
        <f t="shared" si="6"/>
        <v>0</v>
      </c>
      <c r="AJ22">
        <f t="shared" si="6"/>
        <v>0</v>
      </c>
    </row>
    <row r="23" spans="1:36" x14ac:dyDescent="0.25">
      <c r="A23" t="s">
        <v>55</v>
      </c>
      <c r="B23" t="s">
        <v>76</v>
      </c>
      <c r="C23">
        <v>0</v>
      </c>
      <c r="I23" t="s">
        <v>14</v>
      </c>
      <c r="J23">
        <f t="shared" si="4"/>
        <v>0</v>
      </c>
      <c r="K23">
        <f t="shared" si="4"/>
        <v>0</v>
      </c>
      <c r="L23">
        <f t="shared" si="4"/>
        <v>0</v>
      </c>
      <c r="M23">
        <f t="shared" si="4"/>
        <v>0</v>
      </c>
      <c r="N23">
        <f t="shared" si="4"/>
        <v>0</v>
      </c>
      <c r="O23">
        <f t="shared" si="4"/>
        <v>0</v>
      </c>
      <c r="Q23">
        <f>Q18*Q$3</f>
        <v>0</v>
      </c>
      <c r="R23">
        <f t="shared" si="7"/>
        <v>0</v>
      </c>
      <c r="S23">
        <f t="shared" si="7"/>
        <v>0</v>
      </c>
      <c r="T23">
        <f t="shared" si="7"/>
        <v>0</v>
      </c>
      <c r="U23">
        <f t="shared" si="7"/>
        <v>0</v>
      </c>
      <c r="V23">
        <f t="shared" si="7"/>
        <v>0</v>
      </c>
      <c r="X23">
        <f>X18*X$3</f>
        <v>0</v>
      </c>
      <c r="Y23">
        <f t="shared" si="5"/>
        <v>0</v>
      </c>
      <c r="Z23">
        <f t="shared" si="5"/>
        <v>0</v>
      </c>
      <c r="AA23">
        <f t="shared" si="5"/>
        <v>0</v>
      </c>
      <c r="AB23">
        <f t="shared" si="5"/>
        <v>0</v>
      </c>
      <c r="AC23">
        <f t="shared" si="5"/>
        <v>0</v>
      </c>
      <c r="AE23">
        <f>AE18*AE$3</f>
        <v>4</v>
      </c>
      <c r="AF23">
        <f t="shared" si="6"/>
        <v>5</v>
      </c>
      <c r="AG23">
        <f t="shared" si="6"/>
        <v>6</v>
      </c>
      <c r="AH23">
        <f t="shared" si="6"/>
        <v>7</v>
      </c>
      <c r="AI23">
        <f t="shared" si="6"/>
        <v>8</v>
      </c>
      <c r="AJ23">
        <f t="shared" si="6"/>
        <v>9</v>
      </c>
    </row>
    <row r="24" spans="1:36" x14ac:dyDescent="0.25">
      <c r="A24" t="s">
        <v>55</v>
      </c>
      <c r="B24" t="s">
        <v>77</v>
      </c>
      <c r="C24">
        <v>-0.28396892678761082</v>
      </c>
      <c r="D24">
        <v>0.12067338605486709</v>
      </c>
      <c r="E24">
        <v>-2.3532026080588926</v>
      </c>
      <c r="F24">
        <v>1.8612489514390061E-2</v>
      </c>
      <c r="I24" t="s">
        <v>15</v>
      </c>
      <c r="J24">
        <f t="shared" si="4"/>
        <v>0</v>
      </c>
      <c r="K24">
        <f t="shared" si="4"/>
        <v>0</v>
      </c>
      <c r="L24">
        <f t="shared" si="4"/>
        <v>0</v>
      </c>
      <c r="M24">
        <f t="shared" si="4"/>
        <v>0</v>
      </c>
      <c r="N24">
        <f t="shared" si="4"/>
        <v>0</v>
      </c>
      <c r="O24">
        <f t="shared" si="4"/>
        <v>0</v>
      </c>
      <c r="Q24">
        <f t="shared" ref="Q24:V24" si="8">Q19*Q$3</f>
        <v>0</v>
      </c>
      <c r="R24">
        <f t="shared" si="8"/>
        <v>0</v>
      </c>
      <c r="S24">
        <f t="shared" si="8"/>
        <v>0</v>
      </c>
      <c r="T24">
        <f t="shared" si="8"/>
        <v>0</v>
      </c>
      <c r="U24">
        <f t="shared" si="8"/>
        <v>0</v>
      </c>
      <c r="V24">
        <f t="shared" si="8"/>
        <v>0</v>
      </c>
      <c r="X24">
        <f t="shared" ref="X24:AC24" si="9">X19*X$3</f>
        <v>0</v>
      </c>
      <c r="Y24">
        <f t="shared" si="9"/>
        <v>0</v>
      </c>
      <c r="Z24">
        <f t="shared" si="9"/>
        <v>0</v>
      </c>
      <c r="AA24">
        <f t="shared" si="9"/>
        <v>0</v>
      </c>
      <c r="AB24">
        <f t="shared" si="9"/>
        <v>0</v>
      </c>
      <c r="AC24">
        <f t="shared" si="9"/>
        <v>0</v>
      </c>
      <c r="AE24">
        <f t="shared" ref="AE24:AJ24" si="10">AE19*AE$3</f>
        <v>0</v>
      </c>
      <c r="AF24">
        <f t="shared" si="10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0"/>
        <v>0</v>
      </c>
    </row>
    <row r="25" spans="1:36" x14ac:dyDescent="0.25">
      <c r="A25" t="s">
        <v>55</v>
      </c>
      <c r="B25" t="s">
        <v>78</v>
      </c>
      <c r="C25">
        <v>1.2230766717859454</v>
      </c>
      <c r="D25">
        <v>0.14145369324176085</v>
      </c>
      <c r="E25">
        <v>8.646481005593575</v>
      </c>
      <c r="F25">
        <v>5.3111875632341879E-18</v>
      </c>
      <c r="I25" t="s">
        <v>17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 s="1" customFormat="1" x14ac:dyDescent="0.25">
      <c r="A26" s="1" t="s">
        <v>56</v>
      </c>
      <c r="B26" s="1" t="s">
        <v>79</v>
      </c>
      <c r="C26" s="1">
        <v>-0.10705058603406199</v>
      </c>
      <c r="D26" s="1">
        <v>2.6622535113993054E-2</v>
      </c>
      <c r="E26" s="1">
        <v>-4.0210515480847349</v>
      </c>
      <c r="F26" s="1">
        <v>5.7938923373990516E-5</v>
      </c>
      <c r="I26" s="1" t="str" cm="1">
        <f t="array" ref="I26:I46">I$5:I$25</f>
        <v>兄弟数</v>
      </c>
      <c r="J26" s="1" cm="1">
        <f t="array" ref="J26:O46">J$5:O$25</f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Q26" s="1" cm="1">
        <f t="array" ref="Q26:V46">Q$5:V$25</f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X26" s="1" cm="1">
        <f t="array" ref="X26:AC46">X$5:AC$25</f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E26" s="1" cm="1">
        <f t="array" ref="AE26:AJ46">AE$5:AJ$25</f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</row>
    <row r="27" spans="1:36" x14ac:dyDescent="0.25">
      <c r="A27" t="s">
        <v>56</v>
      </c>
      <c r="B27" t="s">
        <v>80</v>
      </c>
      <c r="C27">
        <v>0</v>
      </c>
      <c r="I27" t="str">
        <v>父中卒ref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t="s">
        <v>56</v>
      </c>
      <c r="B28" t="s">
        <v>81</v>
      </c>
      <c r="C28">
        <v>0.50504807185509104</v>
      </c>
      <c r="D28">
        <v>7.5548719562050115E-2</v>
      </c>
      <c r="E28">
        <v>6.6850646150300665</v>
      </c>
      <c r="F28">
        <v>2.3082277604818795E-11</v>
      </c>
      <c r="I28" t="str">
        <v>父高卒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t="s">
        <v>56</v>
      </c>
      <c r="B29" t="s">
        <v>82</v>
      </c>
      <c r="C29">
        <v>0.91744533083995439</v>
      </c>
      <c r="D29">
        <v>0.10279621073018548</v>
      </c>
      <c r="E29">
        <v>8.9248944520729516</v>
      </c>
      <c r="F29">
        <v>4.4612441182131075E-19</v>
      </c>
      <c r="I29" t="str">
        <v>父大卒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 x14ac:dyDescent="0.25">
      <c r="A30" t="s">
        <v>56</v>
      </c>
      <c r="B30" t="s">
        <v>83</v>
      </c>
      <c r="C30">
        <v>0</v>
      </c>
      <c r="I30" t="str">
        <v>世代40s ref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t="s">
        <v>56</v>
      </c>
      <c r="B31" t="s">
        <v>84</v>
      </c>
      <c r="C31">
        <v>0.67173991692584645</v>
      </c>
      <c r="D31">
        <v>0.10785463950269893</v>
      </c>
      <c r="E31">
        <v>6.2281967657871311</v>
      </c>
      <c r="F31">
        <v>4.7183425230531093E-10</v>
      </c>
      <c r="I31" t="str">
        <v xml:space="preserve"> 50s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t="s">
        <v>56</v>
      </c>
      <c r="B32" t="s">
        <v>85</v>
      </c>
      <c r="C32">
        <v>0.79861247402649505</v>
      </c>
      <c r="D32">
        <v>0.12595448358579273</v>
      </c>
      <c r="E32">
        <v>6.3404846837590148</v>
      </c>
      <c r="F32">
        <v>2.290434439185609E-10</v>
      </c>
      <c r="I32" t="str">
        <v xml:space="preserve"> 60s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</row>
    <row r="33" spans="1:36" x14ac:dyDescent="0.25">
      <c r="A33" t="s">
        <v>56</v>
      </c>
      <c r="B33" t="s">
        <v>86</v>
      </c>
      <c r="C33">
        <v>1.0819615364255248</v>
      </c>
      <c r="D33">
        <v>0.14607533998746414</v>
      </c>
      <c r="E33">
        <v>7.4068733060513594</v>
      </c>
      <c r="F33">
        <v>1.2931188904950668E-13</v>
      </c>
      <c r="I33" t="str">
        <v xml:space="preserve"> 70s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</row>
    <row r="34" spans="1:36" x14ac:dyDescent="0.25">
      <c r="A34" t="s">
        <v>56</v>
      </c>
      <c r="B34" t="s">
        <v>87</v>
      </c>
      <c r="C34">
        <v>1.020530867890354</v>
      </c>
      <c r="D34">
        <v>0.18033147204290545</v>
      </c>
      <c r="E34">
        <v>5.6591944618937271</v>
      </c>
      <c r="F34">
        <v>1.5208514979339528E-8</v>
      </c>
      <c r="I34" t="str">
        <v xml:space="preserve"> 80-90s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</row>
    <row r="35" spans="1:36" x14ac:dyDescent="0.25">
      <c r="A35" t="s">
        <v>56</v>
      </c>
      <c r="B35" t="s">
        <v>88</v>
      </c>
      <c r="C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t="s">
        <v>56</v>
      </c>
      <c r="B36" t="s">
        <v>89</v>
      </c>
      <c r="C36">
        <v>1.2215529954721454</v>
      </c>
      <c r="D36">
        <v>0.40084350539846703</v>
      </c>
      <c r="E36">
        <v>3.0474561244489533</v>
      </c>
      <c r="F36">
        <v>2.3078721522633333E-3</v>
      </c>
      <c r="I36" t="str">
        <v>EGP I+II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t="s">
        <v>56</v>
      </c>
      <c r="B37" t="s">
        <v>90</v>
      </c>
      <c r="C37">
        <v>0.90053980982418591</v>
      </c>
      <c r="D37">
        <v>0.48923713926530904</v>
      </c>
      <c r="E37">
        <v>1.8407020594890509</v>
      </c>
      <c r="F37">
        <v>6.5665231973057916E-2</v>
      </c>
      <c r="I37" t="str">
        <v xml:space="preserve"> IIIab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t="s">
        <v>56</v>
      </c>
      <c r="B38" t="s">
        <v>91</v>
      </c>
      <c r="C38">
        <v>1.2391524746484608</v>
      </c>
      <c r="D38">
        <v>0.398629133962636</v>
      </c>
      <c r="E38">
        <v>3.108534648058634</v>
      </c>
      <c r="F38">
        <v>1.8801759885275747E-3</v>
      </c>
      <c r="I38" t="str">
        <v xml:space="preserve"> IVab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t="s">
        <v>56</v>
      </c>
      <c r="B39" t="s">
        <v>92</v>
      </c>
      <c r="C39">
        <v>0</v>
      </c>
      <c r="I39" t="str">
        <v xml:space="preserve"> V+VI+VIIab+IVc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36" x14ac:dyDescent="0.25">
      <c r="A40" t="s">
        <v>56</v>
      </c>
      <c r="B40" t="s">
        <v>93</v>
      </c>
      <c r="C40">
        <v>1.1341719718018841</v>
      </c>
      <c r="D40">
        <v>0.50159040186086379</v>
      </c>
      <c r="E40">
        <v>2.2611516639756042</v>
      </c>
      <c r="F40">
        <v>2.3749867073754399E-2</v>
      </c>
      <c r="I40" t="str">
        <v xml:space="preserve"> job+abs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t="s">
        <v>56</v>
      </c>
      <c r="B41" t="s">
        <v>94</v>
      </c>
      <c r="C41">
        <v>-6.5995647913093619E-2</v>
      </c>
      <c r="D41">
        <v>6.8573372690360249E-2</v>
      </c>
      <c r="E41">
        <v>-0.96240924609459966</v>
      </c>
      <c r="F41">
        <v>0.33584407096695557</v>
      </c>
      <c r="I41" t="str">
        <v>世代× I+II</v>
      </c>
      <c r="J41">
        <v>4</v>
      </c>
      <c r="K41">
        <v>5</v>
      </c>
      <c r="L41">
        <v>6</v>
      </c>
      <c r="M41">
        <v>7</v>
      </c>
      <c r="N41">
        <v>8</v>
      </c>
      <c r="O41">
        <v>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t="s">
        <v>56</v>
      </c>
      <c r="B42" t="s">
        <v>95</v>
      </c>
      <c r="C42">
        <v>-5.4119504021520902E-2</v>
      </c>
      <c r="D42">
        <v>8.0835219678285622E-2</v>
      </c>
      <c r="E42">
        <v>-0.66950401368252566</v>
      </c>
      <c r="F42">
        <v>0.50317402123735633</v>
      </c>
      <c r="I42" t="str">
        <v xml:space="preserve"> IIIab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4</v>
      </c>
      <c r="R42">
        <v>5</v>
      </c>
      <c r="S42">
        <v>6</v>
      </c>
      <c r="T42">
        <v>7</v>
      </c>
      <c r="U42">
        <v>8</v>
      </c>
      <c r="V42">
        <v>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 t="s">
        <v>56</v>
      </c>
      <c r="B43" t="s">
        <v>96</v>
      </c>
      <c r="C43">
        <v>-0.14001248278823653</v>
      </c>
      <c r="D43">
        <v>6.833542065539909E-2</v>
      </c>
      <c r="E43">
        <v>-2.0489005766758872</v>
      </c>
      <c r="F43">
        <v>4.0471837948889901E-2</v>
      </c>
      <c r="I43" t="str">
        <v xml:space="preserve"> IVab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X43">
        <v>4</v>
      </c>
      <c r="Y43">
        <v>5</v>
      </c>
      <c r="Z43">
        <v>6</v>
      </c>
      <c r="AA43">
        <v>7</v>
      </c>
      <c r="AB43">
        <v>8</v>
      </c>
      <c r="AC43">
        <v>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t="s">
        <v>56</v>
      </c>
      <c r="B44" t="s">
        <v>97</v>
      </c>
      <c r="C44">
        <v>0</v>
      </c>
      <c r="I44" t="str">
        <v xml:space="preserve"> V+VI+VIIab+IVc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>
        <v>4</v>
      </c>
      <c r="AF44">
        <v>5</v>
      </c>
      <c r="AG44">
        <v>6</v>
      </c>
      <c r="AH44">
        <v>7</v>
      </c>
      <c r="AI44">
        <v>8</v>
      </c>
      <c r="AJ44">
        <v>9</v>
      </c>
    </row>
    <row r="45" spans="1:36" x14ac:dyDescent="0.25">
      <c r="A45" t="s">
        <v>56</v>
      </c>
      <c r="B45" t="s">
        <v>98</v>
      </c>
      <c r="C45">
        <v>-0.23753407487401126</v>
      </c>
      <c r="D45">
        <v>8.5642695185842638E-2</v>
      </c>
      <c r="E45">
        <v>-2.7735474036468366</v>
      </c>
      <c r="F45">
        <v>5.5448761313646282E-3</v>
      </c>
      <c r="I45" t="str">
        <v xml:space="preserve"> job+abs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t="s">
        <v>56</v>
      </c>
      <c r="B46" t="s">
        <v>99</v>
      </c>
      <c r="C46">
        <v>-1.3405641970563638</v>
      </c>
      <c r="D46">
        <v>0.15227159704292392</v>
      </c>
      <c r="E46">
        <v>-8.8037705198460046</v>
      </c>
      <c r="F46">
        <v>1.3229475523177017E-18</v>
      </c>
      <c r="I46" t="str">
        <v>定数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</row>
    <row r="47" spans="1:36" s="1" customFormat="1" x14ac:dyDescent="0.25">
      <c r="A47" s="1" t="s">
        <v>57</v>
      </c>
      <c r="B47" s="1" t="s">
        <v>100</v>
      </c>
      <c r="C47" s="1">
        <v>-0.3542386139944888</v>
      </c>
      <c r="D47" s="1">
        <v>4.5247728609165164E-2</v>
      </c>
      <c r="E47" s="1">
        <v>-7.8288706391050962</v>
      </c>
      <c r="F47" s="1">
        <v>4.9227182350709075E-15</v>
      </c>
      <c r="I47" s="1" t="str" cm="1">
        <f t="array" ref="I47:I67">I$5:I$25</f>
        <v>兄弟数</v>
      </c>
      <c r="J47" s="1" cm="1">
        <f t="array" ref="J47:O67">J$5:O$25</f>
        <v>2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Q47" s="1" cm="1">
        <f t="array" ref="Q47:V67">Q$5:V$25</f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  <c r="X47" s="1" cm="1">
        <f t="array" ref="X47:AC67">X$5:AC$25</f>
        <v>2</v>
      </c>
      <c r="Y47" s="1">
        <v>2</v>
      </c>
      <c r="Z47" s="1">
        <v>2</v>
      </c>
      <c r="AA47" s="1">
        <v>2</v>
      </c>
      <c r="AB47" s="1">
        <v>2</v>
      </c>
      <c r="AC47" s="1">
        <v>2</v>
      </c>
      <c r="AE47" s="1" cm="1">
        <f t="array" ref="AE47:AJ67">AE$5:AJ$25</f>
        <v>2</v>
      </c>
      <c r="AF47" s="1">
        <v>2</v>
      </c>
      <c r="AG47" s="1">
        <v>2</v>
      </c>
      <c r="AH47" s="1">
        <v>2</v>
      </c>
      <c r="AI47" s="1">
        <v>2</v>
      </c>
      <c r="AJ47" s="1">
        <v>2</v>
      </c>
    </row>
    <row r="48" spans="1:36" x14ac:dyDescent="0.25">
      <c r="A48" t="s">
        <v>57</v>
      </c>
      <c r="B48" t="s">
        <v>101</v>
      </c>
      <c r="C48">
        <v>0</v>
      </c>
      <c r="I48" t="str">
        <v>父中卒ref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t="s">
        <v>57</v>
      </c>
      <c r="B49" t="s">
        <v>102</v>
      </c>
      <c r="C49">
        <v>0.89097272683980322</v>
      </c>
      <c r="D49">
        <v>0.1233430880034056</v>
      </c>
      <c r="E49">
        <v>7.2235318675919871</v>
      </c>
      <c r="F49">
        <v>5.0654421741319605E-13</v>
      </c>
      <c r="I49" t="str">
        <v>父高卒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 t="s">
        <v>57</v>
      </c>
      <c r="B50" t="s">
        <v>103</v>
      </c>
      <c r="C50">
        <v>2.0344063256730252</v>
      </c>
      <c r="D50">
        <v>0.13738748121193758</v>
      </c>
      <c r="E50">
        <v>14.80779986449199</v>
      </c>
      <c r="F50">
        <v>1.3044037328008402E-49</v>
      </c>
      <c r="I50" t="str">
        <v>父大卒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</row>
    <row r="51" spans="1:36" x14ac:dyDescent="0.25">
      <c r="A51" t="s">
        <v>57</v>
      </c>
      <c r="B51" t="s">
        <v>104</v>
      </c>
      <c r="C51">
        <v>0</v>
      </c>
      <c r="I51" t="str">
        <v>世代40s ref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 t="s">
        <v>57</v>
      </c>
      <c r="B52" t="s">
        <v>105</v>
      </c>
      <c r="C52">
        <v>0.75076024353956017</v>
      </c>
      <c r="D52">
        <v>0.17648319526183104</v>
      </c>
      <c r="E52">
        <v>4.254004141446611</v>
      </c>
      <c r="F52">
        <v>2.0998141440820191E-5</v>
      </c>
      <c r="I52" t="str">
        <v xml:space="preserve"> 50s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t="s">
        <v>57</v>
      </c>
      <c r="B53" t="s">
        <v>106</v>
      </c>
      <c r="C53">
        <v>0.80611368455209842</v>
      </c>
      <c r="D53">
        <v>0.20563776244054718</v>
      </c>
      <c r="E53">
        <v>3.9200664069915536</v>
      </c>
      <c r="F53">
        <v>8.8524572211071923E-5</v>
      </c>
      <c r="I53" t="str">
        <v xml:space="preserve"> 60s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</row>
    <row r="54" spans="1:36" x14ac:dyDescent="0.25">
      <c r="A54" t="s">
        <v>57</v>
      </c>
      <c r="B54" t="s">
        <v>107</v>
      </c>
      <c r="C54">
        <v>1.2960162090483165</v>
      </c>
      <c r="D54">
        <v>0.24341604701775979</v>
      </c>
      <c r="E54">
        <v>5.3242841830956129</v>
      </c>
      <c r="F54">
        <v>1.0135135231784099E-7</v>
      </c>
      <c r="I54" t="str">
        <v xml:space="preserve"> 70s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</row>
    <row r="55" spans="1:36" x14ac:dyDescent="0.25">
      <c r="A55" t="s">
        <v>57</v>
      </c>
      <c r="B55" t="s">
        <v>108</v>
      </c>
      <c r="C55">
        <v>1.6595199305639046</v>
      </c>
      <c r="D55">
        <v>0.29306538961714296</v>
      </c>
      <c r="E55">
        <v>5.6626268039766865</v>
      </c>
      <c r="F55">
        <v>1.4907313930533359E-8</v>
      </c>
      <c r="I55" t="str">
        <v xml:space="preserve"> 80-90s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</row>
    <row r="56" spans="1:36" x14ac:dyDescent="0.25">
      <c r="A56" t="s">
        <v>57</v>
      </c>
      <c r="B56" t="s">
        <v>109</v>
      </c>
      <c r="C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t="s">
        <v>57</v>
      </c>
      <c r="B57" t="s">
        <v>110</v>
      </c>
      <c r="C57">
        <v>1.0874636741811785</v>
      </c>
      <c r="D57">
        <v>0.58574701009165386</v>
      </c>
      <c r="E57">
        <v>1.8565415707559809</v>
      </c>
      <c r="F57">
        <v>6.3376403411168861E-2</v>
      </c>
      <c r="I57" t="str">
        <v>EGP I+II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t="s">
        <v>57</v>
      </c>
      <c r="B58" t="s">
        <v>111</v>
      </c>
      <c r="C58">
        <v>0.83038307107234655</v>
      </c>
      <c r="D58">
        <v>0.70711391009126645</v>
      </c>
      <c r="E58">
        <v>1.174327161751308</v>
      </c>
      <c r="F58">
        <v>0.24026400781276427</v>
      </c>
      <c r="I58" t="str">
        <v xml:space="preserve"> IIIab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 t="s">
        <v>57</v>
      </c>
      <c r="B59" t="s">
        <v>112</v>
      </c>
      <c r="C59">
        <v>1.4998774580927552</v>
      </c>
      <c r="D59">
        <v>0.65679066918517126</v>
      </c>
      <c r="E59">
        <v>2.2836461120154703</v>
      </c>
      <c r="F59">
        <v>2.2392337440367879E-2</v>
      </c>
      <c r="I59" t="str">
        <v xml:space="preserve"> IVab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t="s">
        <v>57</v>
      </c>
      <c r="B60" t="s">
        <v>113</v>
      </c>
      <c r="C60">
        <v>0</v>
      </c>
      <c r="I60" t="str">
        <v xml:space="preserve"> V+VI+VIIab+IVc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 x14ac:dyDescent="0.25">
      <c r="A61" t="s">
        <v>57</v>
      </c>
      <c r="B61" t="s">
        <v>114</v>
      </c>
      <c r="C61">
        <v>1.5296554141429262</v>
      </c>
      <c r="D61">
        <v>0.76778092882017857</v>
      </c>
      <c r="E61">
        <v>1.9923071239780503</v>
      </c>
      <c r="F61">
        <v>4.6337370539112688E-2</v>
      </c>
      <c r="I61" t="str">
        <v xml:space="preserve"> job+abs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5">
      <c r="A62" t="s">
        <v>57</v>
      </c>
      <c r="B62" t="s">
        <v>115</v>
      </c>
      <c r="C62">
        <v>6.3982223846392142E-2</v>
      </c>
      <c r="D62">
        <v>9.2258944398983259E-2</v>
      </c>
      <c r="E62">
        <v>0.69350700100896945</v>
      </c>
      <c r="F62">
        <v>0.48799143380993448</v>
      </c>
      <c r="I62" t="str">
        <v>世代× I+II</v>
      </c>
      <c r="J62">
        <v>4</v>
      </c>
      <c r="K62">
        <v>5</v>
      </c>
      <c r="L62">
        <v>6</v>
      </c>
      <c r="M62">
        <v>7</v>
      </c>
      <c r="N62">
        <v>8</v>
      </c>
      <c r="O62">
        <v>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 t="s">
        <v>57</v>
      </c>
      <c r="B63" t="s">
        <v>116</v>
      </c>
      <c r="C63">
        <v>5.0927531943250677E-2</v>
      </c>
      <c r="D63">
        <v>0.1092085554033458</v>
      </c>
      <c r="E63">
        <v>0.4663328047437062</v>
      </c>
      <c r="F63">
        <v>0.64097730093701699</v>
      </c>
      <c r="I63" t="str">
        <v xml:space="preserve"> IIIab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4</v>
      </c>
      <c r="R63">
        <v>5</v>
      </c>
      <c r="S63">
        <v>6</v>
      </c>
      <c r="T63">
        <v>7</v>
      </c>
      <c r="U63">
        <v>8</v>
      </c>
      <c r="V63">
        <v>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5">
      <c r="A64" t="s">
        <v>57</v>
      </c>
      <c r="B64" t="s">
        <v>117</v>
      </c>
      <c r="C64">
        <v>-0.12572663812907051</v>
      </c>
      <c r="D64">
        <v>0.10428176667968357</v>
      </c>
      <c r="E64">
        <v>-1.2056435380046633</v>
      </c>
      <c r="F64">
        <v>0.22795496421043876</v>
      </c>
      <c r="I64" t="str">
        <v xml:space="preserve"> IVab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X64">
        <v>4</v>
      </c>
      <c r="Y64">
        <v>5</v>
      </c>
      <c r="Z64">
        <v>6</v>
      </c>
      <c r="AA64">
        <v>7</v>
      </c>
      <c r="AB64">
        <v>8</v>
      </c>
      <c r="AC64">
        <v>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 t="s">
        <v>57</v>
      </c>
      <c r="B65" t="s">
        <v>118</v>
      </c>
      <c r="C65">
        <v>0</v>
      </c>
      <c r="I65" t="str">
        <v xml:space="preserve"> V+VI+VIIab+IVc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>
        <v>4</v>
      </c>
      <c r="AF65">
        <v>5</v>
      </c>
      <c r="AG65">
        <v>6</v>
      </c>
      <c r="AH65">
        <v>7</v>
      </c>
      <c r="AI65">
        <v>8</v>
      </c>
      <c r="AJ65">
        <v>9</v>
      </c>
    </row>
    <row r="66" spans="1:36" x14ac:dyDescent="0.25">
      <c r="A66" t="s">
        <v>57</v>
      </c>
      <c r="B66" t="s">
        <v>119</v>
      </c>
      <c r="C66">
        <v>-0.23558862091966948</v>
      </c>
      <c r="D66">
        <v>0.12064670852750979</v>
      </c>
      <c r="E66">
        <v>-1.9527148630495021</v>
      </c>
      <c r="F66">
        <v>5.0853391520078894E-2</v>
      </c>
      <c r="I66" t="str">
        <v xml:space="preserve"> job+abs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5">
      <c r="A67" t="s">
        <v>57</v>
      </c>
      <c r="B67" t="s">
        <v>120</v>
      </c>
      <c r="C67">
        <v>-2.5312384301731221</v>
      </c>
      <c r="D67">
        <v>0.26464300105126337</v>
      </c>
      <c r="E67">
        <v>-9.564728408150124</v>
      </c>
      <c r="F67">
        <v>1.1249645336775741E-21</v>
      </c>
      <c r="I67" t="str">
        <v>定数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</row>
    <row r="68" spans="1:36" s="1" customFormat="1" x14ac:dyDescent="0.25"/>
    <row r="69" spans="1:36" x14ac:dyDescent="0.25">
      <c r="J69" t="str">
        <f t="shared" ref="J69:AJ69" si="11">_xlfn.TEXTJOIN("",TRUE,J70:J71)</f>
        <v>I+II1940s</v>
      </c>
      <c r="K69" t="str">
        <f t="shared" si="11"/>
        <v>I+II1950s</v>
      </c>
      <c r="L69" t="str">
        <f t="shared" si="11"/>
        <v>I+II1960s</v>
      </c>
      <c r="M69" t="str">
        <f t="shared" si="11"/>
        <v>I+II1970s</v>
      </c>
      <c r="N69" t="str">
        <f t="shared" si="11"/>
        <v>I+II1980s</v>
      </c>
      <c r="O69" t="str">
        <f t="shared" si="11"/>
        <v>I+II1990s</v>
      </c>
      <c r="P69" t="str">
        <f t="shared" si="11"/>
        <v/>
      </c>
      <c r="Q69" t="str">
        <f t="shared" si="11"/>
        <v>IIIab1940s</v>
      </c>
      <c r="R69" t="str">
        <f t="shared" si="11"/>
        <v>IIIab1950s</v>
      </c>
      <c r="S69" t="str">
        <f t="shared" si="11"/>
        <v>IIIab1960s</v>
      </c>
      <c r="T69" t="str">
        <f t="shared" si="11"/>
        <v>IIIab1970s</v>
      </c>
      <c r="U69" t="str">
        <f t="shared" si="11"/>
        <v>IIIab1980s</v>
      </c>
      <c r="V69" t="str">
        <f t="shared" si="11"/>
        <v>IIIab1990s</v>
      </c>
      <c r="W69" t="str">
        <f t="shared" si="11"/>
        <v/>
      </c>
      <c r="X69" t="str">
        <f t="shared" si="11"/>
        <v>IVab1940s</v>
      </c>
      <c r="Y69" t="str">
        <f t="shared" si="11"/>
        <v>IVab1950s</v>
      </c>
      <c r="Z69" t="str">
        <f t="shared" si="11"/>
        <v>IVab1960s</v>
      </c>
      <c r="AA69" t="str">
        <f t="shared" si="11"/>
        <v>IVab1970s</v>
      </c>
      <c r="AB69" t="str">
        <f t="shared" si="11"/>
        <v>IVab1980s</v>
      </c>
      <c r="AC69" t="str">
        <f t="shared" si="11"/>
        <v>IVab1990s</v>
      </c>
      <c r="AD69" t="str">
        <f t="shared" si="11"/>
        <v/>
      </c>
      <c r="AE69" t="str">
        <f t="shared" si="11"/>
        <v>V+VI+VIIab1940s</v>
      </c>
      <c r="AF69" t="str">
        <f t="shared" si="11"/>
        <v>V+VI+VIIab1950s</v>
      </c>
      <c r="AG69" t="str">
        <f t="shared" si="11"/>
        <v>V+VI+VIIab1960s</v>
      </c>
      <c r="AH69" t="str">
        <f t="shared" si="11"/>
        <v>V+VI+VIIab1970s</v>
      </c>
      <c r="AI69" t="str">
        <f t="shared" si="11"/>
        <v>V+VI+VIIab1980s</v>
      </c>
      <c r="AJ69" t="str">
        <f t="shared" si="11"/>
        <v>V+VI+VIIab1990s</v>
      </c>
    </row>
    <row r="70" spans="1:36" x14ac:dyDescent="0.25">
      <c r="J70" s="7" t="s">
        <v>131</v>
      </c>
      <c r="K70" s="7" t="s">
        <v>131</v>
      </c>
      <c r="L70" s="7" t="s">
        <v>131</v>
      </c>
      <c r="M70" s="7" t="s">
        <v>131</v>
      </c>
      <c r="N70" s="7" t="s">
        <v>131</v>
      </c>
      <c r="O70" s="7" t="s">
        <v>131</v>
      </c>
      <c r="Q70" s="7" t="s">
        <v>132</v>
      </c>
      <c r="R70" s="7" t="s">
        <v>132</v>
      </c>
      <c r="S70" s="7" t="s">
        <v>132</v>
      </c>
      <c r="T70" s="7" t="s">
        <v>132</v>
      </c>
      <c r="U70" s="7" t="s">
        <v>132</v>
      </c>
      <c r="V70" s="7" t="s">
        <v>132</v>
      </c>
      <c r="X70" s="7" t="s">
        <v>133</v>
      </c>
      <c r="Y70" s="7" t="s">
        <v>133</v>
      </c>
      <c r="Z70" s="7" t="s">
        <v>133</v>
      </c>
      <c r="AA70" s="7" t="s">
        <v>133</v>
      </c>
      <c r="AB70" s="7" t="s">
        <v>133</v>
      </c>
      <c r="AC70" s="7" t="s">
        <v>133</v>
      </c>
      <c r="AE70" s="7" t="s">
        <v>134</v>
      </c>
      <c r="AF70" s="7" t="s">
        <v>134</v>
      </c>
      <c r="AG70" s="7" t="s">
        <v>134</v>
      </c>
      <c r="AH70" s="7" t="s">
        <v>134</v>
      </c>
      <c r="AI70" s="7" t="s">
        <v>134</v>
      </c>
      <c r="AJ70" s="7" t="s">
        <v>134</v>
      </c>
    </row>
    <row r="71" spans="1:36" x14ac:dyDescent="0.25">
      <c r="J71" s="9" t="s">
        <v>125</v>
      </c>
      <c r="K71" s="9" t="s">
        <v>126</v>
      </c>
      <c r="L71" s="9" t="s">
        <v>127</v>
      </c>
      <c r="M71" s="9" t="s">
        <v>128</v>
      </c>
      <c r="N71" s="9" t="s">
        <v>129</v>
      </c>
      <c r="O71" s="9" t="s">
        <v>130</v>
      </c>
      <c r="Q71" s="9" t="s">
        <v>125</v>
      </c>
      <c r="R71" s="9" t="s">
        <v>126</v>
      </c>
      <c r="S71" s="9" t="s">
        <v>127</v>
      </c>
      <c r="T71" s="9" t="s">
        <v>128</v>
      </c>
      <c r="U71" s="9" t="s">
        <v>129</v>
      </c>
      <c r="V71" s="9" t="s">
        <v>130</v>
      </c>
      <c r="X71" s="9" t="s">
        <v>125</v>
      </c>
      <c r="Y71" s="9" t="s">
        <v>126</v>
      </c>
      <c r="Z71" s="9" t="s">
        <v>127</v>
      </c>
      <c r="AA71" s="9" t="s">
        <v>128</v>
      </c>
      <c r="AB71" s="9" t="s">
        <v>129</v>
      </c>
      <c r="AC71" s="9" t="s">
        <v>130</v>
      </c>
      <c r="AE71" s="9" t="s">
        <v>125</v>
      </c>
      <c r="AF71" s="9" t="s">
        <v>126</v>
      </c>
      <c r="AG71" s="9" t="s">
        <v>127</v>
      </c>
      <c r="AH71" s="9" t="s">
        <v>128</v>
      </c>
      <c r="AI71" s="9" t="s">
        <v>129</v>
      </c>
      <c r="AJ71" s="9" t="s">
        <v>130</v>
      </c>
    </row>
    <row r="72" spans="1:36" x14ac:dyDescent="0.25">
      <c r="E72" t="str">
        <f>_xlfn.TEXTJOIN("",TRUE,F72:G72)</f>
        <v>T1xb</v>
      </c>
      <c r="F72" s="7" t="s">
        <v>143</v>
      </c>
      <c r="G72" s="7" t="s">
        <v>165</v>
      </c>
      <c r="H72" t="s">
        <v>18</v>
      </c>
      <c r="I72" t="s">
        <v>19</v>
      </c>
      <c r="J72">
        <f>SUMPRODUCT($C$5:$C$25,J$5:J$25)</f>
        <v>4.6425480745953838</v>
      </c>
      <c r="K72">
        <f t="shared" ref="K72:O72" si="12">SUMPRODUCT($C$5:$C$25,K$5:K$25)</f>
        <v>6.1131244129288138</v>
      </c>
      <c r="L72">
        <f t="shared" si="12"/>
        <v>7.1991265572404846</v>
      </c>
      <c r="M72">
        <f t="shared" si="12"/>
        <v>6.5574263572835871</v>
      </c>
      <c r="N72">
        <f t="shared" si="12"/>
        <v>6.4921416377936598</v>
      </c>
      <c r="O72">
        <f t="shared" si="12"/>
        <v>6.3333329636559306</v>
      </c>
      <c r="Q72">
        <f>SUMPRODUCT($C$5:$C$25,Q$5:Q$25)</f>
        <v>3.195302049189694</v>
      </c>
      <c r="R72">
        <f t="shared" ref="R72:V72" si="13">SUMPRODUCT($C$5:$C$25,R$5:R$25)</f>
        <v>4.9906646656521882</v>
      </c>
      <c r="S72">
        <f t="shared" si="13"/>
        <v>6.4014530880929215</v>
      </c>
      <c r="T72">
        <f t="shared" si="13"/>
        <v>6.0845391662650883</v>
      </c>
      <c r="U72">
        <f t="shared" si="13"/>
        <v>6.3440407249042252</v>
      </c>
      <c r="V72">
        <f t="shared" si="13"/>
        <v>6.5100183288955584</v>
      </c>
      <c r="X72">
        <f>SUMPRODUCT($C$5:$C$25,X$5:X$25)</f>
        <v>2.8811205144951062</v>
      </c>
      <c r="Y72">
        <f t="shared" ref="Y72:AC72" si="14">SUMPRODUCT($C$5:$C$25,Y$5:Y$25)</f>
        <v>4.2539126131152916</v>
      </c>
      <c r="Z72">
        <f t="shared" si="14"/>
        <v>5.2421305177137185</v>
      </c>
      <c r="AA72">
        <f t="shared" si="14"/>
        <v>4.5026460780435791</v>
      </c>
      <c r="AB72">
        <f t="shared" si="14"/>
        <v>4.3395771188404089</v>
      </c>
      <c r="AC72">
        <f t="shared" si="14"/>
        <v>4.0829842049894367</v>
      </c>
      <c r="AE72">
        <f>SUMPRODUCT($C$5:$C$25,AE$5:AE$25)</f>
        <v>2.2752334383662998</v>
      </c>
      <c r="AF72">
        <f t="shared" ref="AF72:AJ72" si="15">SUMPRODUCT($C$5:$C$25,AF$5:AF$25)</f>
        <v>3.9046184508374586</v>
      </c>
      <c r="AG72">
        <f t="shared" si="15"/>
        <v>5.1494292692868573</v>
      </c>
      <c r="AH72">
        <f t="shared" si="15"/>
        <v>4.6665377434676891</v>
      </c>
      <c r="AI72">
        <f t="shared" si="15"/>
        <v>4.7600616981154911</v>
      </c>
      <c r="AJ72">
        <f t="shared" si="15"/>
        <v>4.7600616981154911</v>
      </c>
    </row>
    <row r="73" spans="1:36" x14ac:dyDescent="0.25">
      <c r="E73" t="str">
        <f t="shared" ref="E73:E101" si="16">_xlfn.TEXTJOIN("",TRUE,F73:G73)</f>
        <v>T1lambda</v>
      </c>
      <c r="F73" s="7" t="s">
        <v>143</v>
      </c>
      <c r="G73" s="7" t="s">
        <v>144</v>
      </c>
      <c r="I73" t="s">
        <v>20</v>
      </c>
      <c r="J73">
        <f t="shared" ref="J73:O73" si="17">SUMPRODUCT($C$15:$C$24,J15:J24)</f>
        <v>2.3673146362290844</v>
      </c>
      <c r="K73">
        <f t="shared" si="17"/>
        <v>2.2085059620913556</v>
      </c>
      <c r="L73">
        <f t="shared" si="17"/>
        <v>2.0496972879536264</v>
      </c>
      <c r="M73">
        <f t="shared" si="17"/>
        <v>1.8908886138158973</v>
      </c>
      <c r="N73">
        <f t="shared" si="17"/>
        <v>1.7320799396781683</v>
      </c>
      <c r="O73">
        <f t="shared" si="17"/>
        <v>1.5732712655404393</v>
      </c>
      <c r="Q73">
        <f t="shared" ref="Q73:V73" si="18">SUMPRODUCT($C$15:$C$24,Q15:Q24)</f>
        <v>0.92006861082339408</v>
      </c>
      <c r="R73">
        <f t="shared" si="18"/>
        <v>1.086046214814729</v>
      </c>
      <c r="S73">
        <f t="shared" si="18"/>
        <v>1.2520238188060637</v>
      </c>
      <c r="T73">
        <f t="shared" si="18"/>
        <v>1.4180014227973987</v>
      </c>
      <c r="U73">
        <f t="shared" si="18"/>
        <v>1.5839790267887335</v>
      </c>
      <c r="V73">
        <f t="shared" si="18"/>
        <v>1.7499566307800682</v>
      </c>
      <c r="X73">
        <f t="shared" ref="X73:AC73" si="19">SUMPRODUCT($C$15:$C$24,X15:X24)</f>
        <v>0.60588707612880599</v>
      </c>
      <c r="Y73">
        <f t="shared" si="19"/>
        <v>0.34929416227783383</v>
      </c>
      <c r="Z73">
        <f t="shared" si="19"/>
        <v>9.2701248426861893E-2</v>
      </c>
      <c r="AA73">
        <f t="shared" si="19"/>
        <v>-0.16389166542411027</v>
      </c>
      <c r="AB73">
        <f t="shared" si="19"/>
        <v>-0.42048457927508243</v>
      </c>
      <c r="AC73">
        <f t="shared" si="19"/>
        <v>-0.67707749312605459</v>
      </c>
      <c r="AE73">
        <f t="shared" ref="AE73:AJ73" si="20">SUMPRODUCT($C$15:$C$24,AE15:AE24)</f>
        <v>0</v>
      </c>
      <c r="AF73">
        <f t="shared" si="20"/>
        <v>0</v>
      </c>
      <c r="AG73">
        <f t="shared" si="20"/>
        <v>0</v>
      </c>
      <c r="AH73">
        <f t="shared" si="20"/>
        <v>0</v>
      </c>
      <c r="AI73">
        <f t="shared" si="20"/>
        <v>0</v>
      </c>
      <c r="AJ73">
        <f t="shared" si="20"/>
        <v>0</v>
      </c>
    </row>
    <row r="74" spans="1:36" x14ac:dyDescent="0.25">
      <c r="E74" t="str">
        <f t="shared" si="16"/>
        <v>T1p</v>
      </c>
      <c r="F74" s="7" t="s">
        <v>143</v>
      </c>
      <c r="G74" s="7" t="s">
        <v>156</v>
      </c>
      <c r="I74" t="s">
        <v>21</v>
      </c>
      <c r="J74">
        <f t="shared" ref="J74:O74" si="21">1/(1+EXP(-J72))</f>
        <v>0.9904587911942293</v>
      </c>
      <c r="K74">
        <f t="shared" si="21"/>
        <v>0.99779126558458775</v>
      </c>
      <c r="L74">
        <f t="shared" si="21"/>
        <v>0.99925331975478304</v>
      </c>
      <c r="M74">
        <f t="shared" si="21"/>
        <v>0.99858247783398557</v>
      </c>
      <c r="N74">
        <f t="shared" si="21"/>
        <v>0.99848699235481408</v>
      </c>
      <c r="O74">
        <f t="shared" si="21"/>
        <v>0.99822704475094848</v>
      </c>
      <c r="Q74">
        <f t="shared" ref="Q74:V74" si="22">1/(1+EXP(-Q72))</f>
        <v>0.96065710174890617</v>
      </c>
      <c r="R74">
        <f t="shared" si="22"/>
        <v>0.9932448005701896</v>
      </c>
      <c r="S74">
        <f t="shared" si="22"/>
        <v>0.9983436035638692</v>
      </c>
      <c r="T74">
        <f t="shared" si="22"/>
        <v>0.99772736286831132</v>
      </c>
      <c r="U74">
        <f t="shared" si="22"/>
        <v>0.99824589473120628</v>
      </c>
      <c r="V74">
        <f t="shared" si="22"/>
        <v>0.99851375975679801</v>
      </c>
      <c r="X74">
        <f t="shared" ref="X74:AC74" si="23">1/(1+EXP(-X72))</f>
        <v>0.94690522649190256</v>
      </c>
      <c r="Y74">
        <f t="shared" si="23"/>
        <v>0.98599052160893497</v>
      </c>
      <c r="Z74">
        <f t="shared" si="23"/>
        <v>0.99473884953604219</v>
      </c>
      <c r="AA74">
        <f t="shared" si="23"/>
        <v>0.98904177308735319</v>
      </c>
      <c r="AB74">
        <f t="shared" si="23"/>
        <v>0.9871258627705376</v>
      </c>
      <c r="AC74">
        <f t="shared" si="23"/>
        <v>0.98342236509031911</v>
      </c>
      <c r="AE74">
        <f t="shared" ref="AE74:AJ74" si="24">1/(1+EXP(-AE72))</f>
        <v>0.90680500659487251</v>
      </c>
      <c r="AF74">
        <f t="shared" si="24"/>
        <v>0.98024930885797723</v>
      </c>
      <c r="AG74">
        <f t="shared" si="24"/>
        <v>0.99423076167908364</v>
      </c>
      <c r="AH74">
        <f t="shared" si="24"/>
        <v>0.99068285072524942</v>
      </c>
      <c r="AI74">
        <f t="shared" si="24"/>
        <v>0.99150765667602792</v>
      </c>
      <c r="AJ74">
        <f t="shared" si="24"/>
        <v>0.99150765667602792</v>
      </c>
    </row>
    <row r="75" spans="1:36" x14ac:dyDescent="0.25">
      <c r="E75" t="str">
        <f t="shared" si="16"/>
        <v>T1p*</v>
      </c>
      <c r="F75" s="7" t="s">
        <v>143</v>
      </c>
      <c r="G75" s="7" t="s">
        <v>166</v>
      </c>
      <c r="I75" t="s">
        <v>22</v>
      </c>
      <c r="J75" cm="1">
        <f t="array" ref="J75:O75">(J74:O74+$AE74:$AJ74)/2</f>
        <v>0.94863189889455091</v>
      </c>
      <c r="K75">
        <v>0.98902028722128255</v>
      </c>
      <c r="L75">
        <v>0.9967420407169334</v>
      </c>
      <c r="M75">
        <v>0.9946326642796175</v>
      </c>
      <c r="N75">
        <v>0.994997324515421</v>
      </c>
      <c r="O75">
        <v>0.9948673507134882</v>
      </c>
      <c r="Q75" cm="1">
        <f t="array" ref="Q75:V75">(Q74:V74+$AE74:$AJ74)/2</f>
        <v>0.93373105417188929</v>
      </c>
      <c r="R75">
        <v>0.98674705471408342</v>
      </c>
      <c r="S75">
        <v>0.99628718262147642</v>
      </c>
      <c r="T75">
        <v>0.99420510679678031</v>
      </c>
      <c r="U75">
        <v>0.9948767757036171</v>
      </c>
      <c r="V75">
        <v>0.99501070821641302</v>
      </c>
      <c r="X75" cm="1">
        <f t="array" ref="X75:AC75">(X74:AC74+$AE74:$AJ74)/2</f>
        <v>0.92685511654338759</v>
      </c>
      <c r="Y75">
        <v>0.9831199152334561</v>
      </c>
      <c r="Z75">
        <v>0.99448480560756292</v>
      </c>
      <c r="AA75">
        <v>0.98986231190630125</v>
      </c>
      <c r="AB75">
        <v>0.98931675972328281</v>
      </c>
      <c r="AC75">
        <v>0.98746501088317351</v>
      </c>
      <c r="AE75" cm="1">
        <f t="array" ref="AE75:AJ75">(AE74:AJ74+$AE74:$AJ74)/2</f>
        <v>0.90680500659487251</v>
      </c>
      <c r="AF75">
        <v>0.98024930885797723</v>
      </c>
      <c r="AG75">
        <v>0.99423076167908364</v>
      </c>
      <c r="AH75">
        <v>0.99068285072524942</v>
      </c>
      <c r="AI75">
        <v>0.99150765667602792</v>
      </c>
      <c r="AJ75">
        <v>0.99150765667602792</v>
      </c>
    </row>
    <row r="76" spans="1:36" x14ac:dyDescent="0.25">
      <c r="E76" t="str">
        <f t="shared" si="16"/>
        <v/>
      </c>
    </row>
    <row r="77" spans="1:36" x14ac:dyDescent="0.25">
      <c r="E77" t="str">
        <f t="shared" si="16"/>
        <v>T2xb</v>
      </c>
      <c r="F77" s="7" t="s">
        <v>157</v>
      </c>
      <c r="G77" s="7" t="s">
        <v>165</v>
      </c>
      <c r="H77" t="s">
        <v>23</v>
      </c>
      <c r="I77" t="s">
        <v>19</v>
      </c>
      <c r="J77">
        <f>SUMPRODUCT($C$26:$C$46,J$26:J$46)</f>
        <v>0.32035036553523755</v>
      </c>
      <c r="K77">
        <f t="shared" ref="K77:O77" si="25">SUMPRODUCT($C$26:$C$46,K$26:K$46)</f>
        <v>0.92609463454799057</v>
      </c>
      <c r="L77">
        <f t="shared" si="25"/>
        <v>0.98697154373554552</v>
      </c>
      <c r="M77">
        <f t="shared" si="25"/>
        <v>1.2043249582214814</v>
      </c>
      <c r="N77">
        <f t="shared" si="25"/>
        <v>1.0768986417732167</v>
      </c>
      <c r="O77">
        <f t="shared" si="25"/>
        <v>1.0109029938601233</v>
      </c>
      <c r="Q77">
        <f>SUMPRODUCT($C$26:$C$46,Q$26:Q$46)</f>
        <v>4.6841755453569167E-2</v>
      </c>
      <c r="R77">
        <f t="shared" ref="R77:V77" si="26">SUMPRODUCT($C$26:$C$46,R$26:R$46)</f>
        <v>0.66446216835789418</v>
      </c>
      <c r="S77">
        <f t="shared" si="26"/>
        <v>0.73721522143702201</v>
      </c>
      <c r="T77">
        <f t="shared" si="26"/>
        <v>0.96644477981453125</v>
      </c>
      <c r="U77">
        <f t="shared" si="26"/>
        <v>0.85089460725783983</v>
      </c>
      <c r="V77">
        <f t="shared" si="26"/>
        <v>0.79677510323631884</v>
      </c>
      <c r="X77">
        <f>SUMPRODUCT($C$26:$C$46,X$26:X$46)</f>
        <v>4.1882505210981247E-2</v>
      </c>
      <c r="Y77">
        <f t="shared" ref="Y77:AC77" si="27">SUMPRODUCT($C$26:$C$46,Y$26:Y$46)</f>
        <v>0.57360993934859117</v>
      </c>
      <c r="Z77">
        <f t="shared" si="27"/>
        <v>0.56047001366100346</v>
      </c>
      <c r="AA77">
        <f t="shared" si="27"/>
        <v>0.70380659327179673</v>
      </c>
      <c r="AB77">
        <f t="shared" si="27"/>
        <v>0.50236344194838933</v>
      </c>
      <c r="AC77">
        <f t="shared" si="27"/>
        <v>0.36235095916015281</v>
      </c>
      <c r="AE77">
        <f>SUMPRODUCT($C$26:$C$46,AE$26:AE$46)</f>
        <v>-0.63722003828453333</v>
      </c>
      <c r="AF77">
        <f t="shared" ref="AF77:AJ77" si="28">SUMPRODUCT($C$26:$C$46,AF$26:AF$46)</f>
        <v>3.4519878641313007E-2</v>
      </c>
      <c r="AG77">
        <f t="shared" si="28"/>
        <v>0.16139243574196183</v>
      </c>
      <c r="AH77">
        <f t="shared" si="28"/>
        <v>0.44474149814099162</v>
      </c>
      <c r="AI77">
        <f t="shared" si="28"/>
        <v>0.38331082960582075</v>
      </c>
      <c r="AJ77">
        <f t="shared" si="28"/>
        <v>0.38331082960582075</v>
      </c>
    </row>
    <row r="78" spans="1:36" x14ac:dyDescent="0.25">
      <c r="E78" t="str">
        <f t="shared" si="16"/>
        <v>T2lambda</v>
      </c>
      <c r="F78" s="7" t="s">
        <v>157</v>
      </c>
      <c r="G78" s="7" t="s">
        <v>144</v>
      </c>
      <c r="I78" t="s">
        <v>20</v>
      </c>
      <c r="J78">
        <f>SUMPRODUCT($C$36:$C$45,J$36:J$45)</f>
        <v>0.95757040381977088</v>
      </c>
      <c r="K78">
        <f t="shared" ref="K78:N78" si="29">SUMPRODUCT($C$36:$C$45,K$36:K$45)</f>
        <v>0.89157475590667723</v>
      </c>
      <c r="L78">
        <f t="shared" si="29"/>
        <v>0.82557910799358369</v>
      </c>
      <c r="M78">
        <f t="shared" si="29"/>
        <v>0.75958346008049005</v>
      </c>
      <c r="N78">
        <f t="shared" si="29"/>
        <v>0.6935878121673964</v>
      </c>
      <c r="O78">
        <f>SUMPRODUCT($C$36:$C$45,O$36:O$45)</f>
        <v>0.62759216425430275</v>
      </c>
      <c r="Q78">
        <f>SUMPRODUCT($C$36:$C$45,Q$36:Q$45)</f>
        <v>0.68406179373810228</v>
      </c>
      <c r="R78">
        <f t="shared" ref="R78:U78" si="30">SUMPRODUCT($C$36:$C$45,R$36:R$45)</f>
        <v>0.62994228971658139</v>
      </c>
      <c r="S78">
        <f t="shared" si="30"/>
        <v>0.57582278569506051</v>
      </c>
      <c r="T78">
        <f t="shared" si="30"/>
        <v>0.52170328167353963</v>
      </c>
      <c r="U78">
        <f t="shared" si="30"/>
        <v>0.4675837776520187</v>
      </c>
      <c r="V78">
        <f>SUMPRODUCT($C$36:$C$45,V$36:V$45)</f>
        <v>0.41346427363049781</v>
      </c>
      <c r="X78">
        <f>SUMPRODUCT($C$36:$C$45,X$36:X$45)</f>
        <v>0.67910254349551469</v>
      </c>
      <c r="Y78">
        <f t="shared" ref="Y78:AB78" si="31">SUMPRODUCT($C$36:$C$45,Y$36:Y$45)</f>
        <v>0.53909006070727816</v>
      </c>
      <c r="Z78">
        <f t="shared" si="31"/>
        <v>0.39907757791904164</v>
      </c>
      <c r="AA78">
        <f t="shared" si="31"/>
        <v>0.25906509513080511</v>
      </c>
      <c r="AB78">
        <f t="shared" si="31"/>
        <v>0.11905261234256859</v>
      </c>
      <c r="AC78">
        <f>SUMPRODUCT($C$36:$C$45,AC$36:AC$45)</f>
        <v>-2.0959870445667939E-2</v>
      </c>
      <c r="AE78">
        <f>SUMPRODUCT($C$36:$C$45,AE$36:AE$45)</f>
        <v>0</v>
      </c>
      <c r="AF78">
        <f t="shared" ref="AF78:AI78" si="32">SUMPRODUCT($C$36:$C$45,AF$36:AF$45)</f>
        <v>0</v>
      </c>
      <c r="AG78">
        <f t="shared" si="32"/>
        <v>0</v>
      </c>
      <c r="AH78">
        <f t="shared" si="32"/>
        <v>0</v>
      </c>
      <c r="AI78">
        <f t="shared" si="32"/>
        <v>0</v>
      </c>
      <c r="AJ78">
        <f>SUMPRODUCT($C$36:$C$45,AJ$36:AJ$45)</f>
        <v>0</v>
      </c>
    </row>
    <row r="79" spans="1:36" x14ac:dyDescent="0.25">
      <c r="E79" t="str">
        <f t="shared" si="16"/>
        <v>T2p</v>
      </c>
      <c r="F79" s="7" t="s">
        <v>157</v>
      </c>
      <c r="G79" s="7" t="s">
        <v>156</v>
      </c>
      <c r="I79" t="s">
        <v>24</v>
      </c>
      <c r="J79">
        <f t="shared" ref="J79:O79" si="33">EXP(J77)/(1+EXP(J82)+EXP(J77))</f>
        <v>0.39073590862374563</v>
      </c>
      <c r="K79">
        <f t="shared" si="33"/>
        <v>0.41267929920434032</v>
      </c>
      <c r="L79">
        <f t="shared" si="33"/>
        <v>0.40623531344064895</v>
      </c>
      <c r="M79">
        <f t="shared" si="33"/>
        <v>0.3540477562102502</v>
      </c>
      <c r="N79">
        <f t="shared" si="33"/>
        <v>0.25024075723180034</v>
      </c>
      <c r="O79">
        <f t="shared" si="33"/>
        <v>0.22789511473173416</v>
      </c>
      <c r="Q79">
        <f>EXP(Q77)/(1+EXP(Q82)+EXP(Q77))</f>
        <v>0.36253987410264932</v>
      </c>
      <c r="R79">
        <f t="shared" ref="R79:V79" si="34">EXP(R77)/(1+EXP(R82)+EXP(R77))</f>
        <v>0.40304202316445575</v>
      </c>
      <c r="S79">
        <f t="shared" si="34"/>
        <v>0.40355419474055715</v>
      </c>
      <c r="T79">
        <f t="shared" si="34"/>
        <v>0.36424424261079646</v>
      </c>
      <c r="U79">
        <f t="shared" si="34"/>
        <v>0.26695184863897953</v>
      </c>
      <c r="V79">
        <f t="shared" si="34"/>
        <v>0.24834871193323407</v>
      </c>
      <c r="X79">
        <f t="shared" ref="X79:AC79" si="35">EXP(X77)/(1+EXP(X82)+EXP(X77))</f>
        <v>0.36528196695227028</v>
      </c>
      <c r="Y79">
        <f t="shared" si="35"/>
        <v>0.41351969173871567</v>
      </c>
      <c r="Z79">
        <f t="shared" si="35"/>
        <v>0.42049146913882618</v>
      </c>
      <c r="AA79">
        <f t="shared" si="35"/>
        <v>0.39977415801207411</v>
      </c>
      <c r="AB79">
        <f t="shared" si="35"/>
        <v>0.3157550300137707</v>
      </c>
      <c r="AC79">
        <f t="shared" si="35"/>
        <v>0.30483857934247877</v>
      </c>
      <c r="AE79">
        <f t="shared" ref="AE79:AJ79" si="36">EXP(AE77)/(1+EXP(AE82)+EXP(AE77))</f>
        <v>0.28919929580416198</v>
      </c>
      <c r="AF79">
        <f t="shared" si="36"/>
        <v>0.38770717484159334</v>
      </c>
      <c r="AG79">
        <f>EXP(AG77)/(1+EXP(AG82)+EXP(AG77))</f>
        <v>0.41291067578643359</v>
      </c>
      <c r="AH79">
        <f t="shared" si="36"/>
        <v>0.42683227859853956</v>
      </c>
      <c r="AI79">
        <f t="shared" si="36"/>
        <v>0.36296657426898432</v>
      </c>
      <c r="AJ79">
        <f t="shared" si="36"/>
        <v>0.36296657426898432</v>
      </c>
    </row>
    <row r="80" spans="1:36" x14ac:dyDescent="0.25">
      <c r="E80" t="str">
        <f t="shared" si="16"/>
        <v>T2p*</v>
      </c>
      <c r="F80" s="7" t="s">
        <v>157</v>
      </c>
      <c r="G80" s="7" t="s">
        <v>166</v>
      </c>
      <c r="I80" t="s">
        <v>25</v>
      </c>
      <c r="J80" cm="1">
        <f t="array" ref="J80:O80">(J79:O79+$AE79:$AJ79)/2</f>
        <v>0.33996760221395383</v>
      </c>
      <c r="K80">
        <v>0.40019323702296683</v>
      </c>
      <c r="L80">
        <v>0.40957299461354124</v>
      </c>
      <c r="M80">
        <v>0.39044001740439488</v>
      </c>
      <c r="N80">
        <v>0.30660366575039233</v>
      </c>
      <c r="O80">
        <v>0.29543084450035922</v>
      </c>
      <c r="Q80" cm="1">
        <f t="array" ref="Q80:V80">(Q79:V79+$AE79:$AJ79)/2</f>
        <v>0.32586958495340568</v>
      </c>
      <c r="R80">
        <v>0.39537459900302452</v>
      </c>
      <c r="S80">
        <v>0.4082324352634954</v>
      </c>
      <c r="T80">
        <v>0.39553826060466801</v>
      </c>
      <c r="U80">
        <v>0.31495921145398192</v>
      </c>
      <c r="V80">
        <v>0.30565764310110921</v>
      </c>
      <c r="X80" cm="1">
        <f t="array" ref="X80:AC80">(X79:AC79+$AE79:$AJ79)/2</f>
        <v>0.32724063137821613</v>
      </c>
      <c r="Y80">
        <v>0.40061343329015453</v>
      </c>
      <c r="Z80">
        <v>0.41670107246262988</v>
      </c>
      <c r="AA80">
        <v>0.41330321830530681</v>
      </c>
      <c r="AB80">
        <v>0.33936080214137754</v>
      </c>
      <c r="AC80">
        <v>0.33390257680573154</v>
      </c>
      <c r="AE80" cm="1">
        <f t="array" ref="AE80:AJ80">(AE79:AJ79+$AE79:$AJ79)/2</f>
        <v>0.28919929580416198</v>
      </c>
      <c r="AF80">
        <v>0.38770717484159334</v>
      </c>
      <c r="AG80">
        <v>0.41291067578643359</v>
      </c>
      <c r="AH80">
        <v>0.42683227859853956</v>
      </c>
      <c r="AI80">
        <v>0.36296657426898432</v>
      </c>
      <c r="AJ80">
        <v>0.36296657426898432</v>
      </c>
    </row>
    <row r="81" spans="5:36" x14ac:dyDescent="0.25">
      <c r="E81" t="str">
        <f t="shared" si="16"/>
        <v/>
      </c>
    </row>
    <row r="82" spans="5:36" x14ac:dyDescent="0.25">
      <c r="E82" t="str">
        <f t="shared" si="16"/>
        <v>T3xb</v>
      </c>
      <c r="F82" s="7" t="s">
        <v>159</v>
      </c>
      <c r="G82" s="7" t="s">
        <v>165</v>
      </c>
      <c r="H82" t="s">
        <v>26</v>
      </c>
      <c r="I82" t="s">
        <v>19</v>
      </c>
      <c r="J82">
        <f>SUMPRODUCT($C$47:$C$67,J$47:J$67)</f>
        <v>0.13808323707767256</v>
      </c>
      <c r="K82">
        <f t="shared" ref="K82:O82" si="37">SUMPRODUCT($C$47:$C$67,K$47:K$67)</f>
        <v>0.95282570446362458</v>
      </c>
      <c r="L82">
        <f t="shared" si="37"/>
        <v>1.0721613693225551</v>
      </c>
      <c r="M82">
        <f t="shared" si="37"/>
        <v>1.6260461176651653</v>
      </c>
      <c r="N82">
        <f t="shared" si="37"/>
        <v>2.0535320630271459</v>
      </c>
      <c r="O82">
        <f t="shared" si="37"/>
        <v>2.1175142868735382</v>
      </c>
      <c r="Q82">
        <f>SUMPRODUCT($C$47:$C$67,Q$47:Q$67)</f>
        <v>-0.17121613364372523</v>
      </c>
      <c r="R82">
        <f t="shared" ref="R82:V82" si="38">SUMPRODUCT($C$47:$C$67,R$47:R$67)</f>
        <v>0.63047164183908544</v>
      </c>
      <c r="S82">
        <f t="shared" si="38"/>
        <v>0.73675261479487419</v>
      </c>
      <c r="T82">
        <f t="shared" si="38"/>
        <v>1.2775826712343434</v>
      </c>
      <c r="U82">
        <f t="shared" si="38"/>
        <v>1.6920139246931818</v>
      </c>
      <c r="V82">
        <f t="shared" si="38"/>
        <v>1.7429414566364327</v>
      </c>
      <c r="X82">
        <f>SUMPRODUCT($C$47:$C$67,X$47:X$67)</f>
        <v>-0.20833842691260163</v>
      </c>
      <c r="Y82">
        <f t="shared" ref="Y82:AC82" si="39">SUMPRODUCT($C$47:$C$67,Y$47:Y$67)</f>
        <v>0.41669517849788829</v>
      </c>
      <c r="Z82">
        <f t="shared" si="39"/>
        <v>0.34632198138135539</v>
      </c>
      <c r="AA82">
        <f t="shared" si="39"/>
        <v>0.71049786774850388</v>
      </c>
      <c r="AB82">
        <f t="shared" si="39"/>
        <v>0.94827495113502103</v>
      </c>
      <c r="AC82">
        <f t="shared" si="39"/>
        <v>0.82254831300595033</v>
      </c>
      <c r="AE82">
        <f>SUMPRODUCT($C$47:$C$67,AE$47:AE$67)</f>
        <v>-1.2053093324890747</v>
      </c>
      <c r="AF82">
        <f t="shared" ref="AF82:AJ82" si="40">SUMPRODUCT($C$47:$C$67,AF$47:AF$67)</f>
        <v>-0.45454908894951451</v>
      </c>
      <c r="AG82">
        <f t="shared" si="40"/>
        <v>-0.39919564793697626</v>
      </c>
      <c r="AH82">
        <f t="shared" si="40"/>
        <v>9.0706876559242033E-2</v>
      </c>
      <c r="AI82">
        <f t="shared" si="40"/>
        <v>0.45421059807482989</v>
      </c>
      <c r="AJ82">
        <f t="shared" si="40"/>
        <v>0.45421059807482989</v>
      </c>
    </row>
    <row r="83" spans="5:36" x14ac:dyDescent="0.25">
      <c r="E83" t="str">
        <f t="shared" si="16"/>
        <v>T3lambda</v>
      </c>
      <c r="F83" s="7" t="s">
        <v>159</v>
      </c>
      <c r="G83" s="7" t="s">
        <v>144</v>
      </c>
      <c r="I83" t="s">
        <v>20</v>
      </c>
      <c r="J83">
        <f t="shared" ref="J83:O83" si="41">SUMPRODUCT($C$57:$C$66,J57:J66)</f>
        <v>1.343392569566747</v>
      </c>
      <c r="K83">
        <f t="shared" si="41"/>
        <v>1.4073747934131391</v>
      </c>
      <c r="L83">
        <f t="shared" si="41"/>
        <v>1.4713570172595314</v>
      </c>
      <c r="M83">
        <f t="shared" si="41"/>
        <v>1.5353392411059235</v>
      </c>
      <c r="N83">
        <f t="shared" si="41"/>
        <v>1.5993214649523155</v>
      </c>
      <c r="O83">
        <f t="shared" si="41"/>
        <v>1.6633036887987078</v>
      </c>
      <c r="Q83">
        <f t="shared" ref="Q83:V83" si="42">SUMPRODUCT($C$57:$C$66,Q57:Q66)</f>
        <v>1.0340931988453492</v>
      </c>
      <c r="R83">
        <f t="shared" si="42"/>
        <v>1.0850207307886</v>
      </c>
      <c r="S83">
        <f t="shared" si="42"/>
        <v>1.1359482627318507</v>
      </c>
      <c r="T83">
        <f t="shared" si="42"/>
        <v>1.1868757946751014</v>
      </c>
      <c r="U83">
        <f t="shared" si="42"/>
        <v>1.2378033266183519</v>
      </c>
      <c r="V83">
        <f t="shared" si="42"/>
        <v>1.2887308585616026</v>
      </c>
      <c r="X83">
        <f t="shared" ref="X83:AC83" si="43">SUMPRODUCT($C$57:$C$66,X57:X66)</f>
        <v>0.99697090557647317</v>
      </c>
      <c r="Y83">
        <f t="shared" si="43"/>
        <v>0.87124426744740269</v>
      </c>
      <c r="Z83">
        <f t="shared" si="43"/>
        <v>0.7455176293183321</v>
      </c>
      <c r="AA83">
        <f t="shared" si="43"/>
        <v>0.61979099118926162</v>
      </c>
      <c r="AB83">
        <f t="shared" si="43"/>
        <v>0.49406435306019114</v>
      </c>
      <c r="AC83">
        <f t="shared" si="43"/>
        <v>0.36833771493112066</v>
      </c>
      <c r="AE83">
        <f t="shared" ref="AE83:AJ83" si="44">SUMPRODUCT($C$57:$C$66,AE57:AE66)</f>
        <v>0</v>
      </c>
      <c r="AF83">
        <f t="shared" si="44"/>
        <v>0</v>
      </c>
      <c r="AG83">
        <f t="shared" si="44"/>
        <v>0</v>
      </c>
      <c r="AH83">
        <f t="shared" si="44"/>
        <v>0</v>
      </c>
      <c r="AI83">
        <f t="shared" si="44"/>
        <v>0</v>
      </c>
      <c r="AJ83">
        <f t="shared" si="44"/>
        <v>0</v>
      </c>
    </row>
    <row r="84" spans="5:36" x14ac:dyDescent="0.25">
      <c r="E84" t="str">
        <f t="shared" si="16"/>
        <v>T3p</v>
      </c>
      <c r="F84" s="7" t="s">
        <v>159</v>
      </c>
      <c r="G84" s="7" t="s">
        <v>156</v>
      </c>
      <c r="I84" t="s">
        <v>24</v>
      </c>
      <c r="J84">
        <f t="shared" ref="J84:O84" si="45">EXP(J82)/(1+EXP(J82)+EXP(J77))</f>
        <v>0.32563098025666398</v>
      </c>
      <c r="K84">
        <f t="shared" si="45"/>
        <v>0.42385942099084412</v>
      </c>
      <c r="L84">
        <f t="shared" si="45"/>
        <v>0.44235928197935043</v>
      </c>
      <c r="M84">
        <f t="shared" si="45"/>
        <v>0.53977531413047042</v>
      </c>
      <c r="N84">
        <f t="shared" si="45"/>
        <v>0.66451463675397915</v>
      </c>
      <c r="O84">
        <f t="shared" si="45"/>
        <v>0.68917607715605855</v>
      </c>
      <c r="Q84">
        <f t="shared" ref="Q84:V84" si="46">EXP(Q82)/(1+EXP(Q82)+EXP(Q77))</f>
        <v>0.29151066060708047</v>
      </c>
      <c r="R84">
        <f t="shared" si="46"/>
        <v>0.38957262535367032</v>
      </c>
      <c r="S84">
        <f t="shared" si="46"/>
        <v>0.40336755106423428</v>
      </c>
      <c r="T84">
        <f t="shared" si="46"/>
        <v>0.4971851690366671</v>
      </c>
      <c r="U84">
        <f t="shared" si="46"/>
        <v>0.61905097347495353</v>
      </c>
      <c r="V84">
        <f t="shared" si="46"/>
        <v>0.63970057060368679</v>
      </c>
      <c r="X84">
        <f t="shared" ref="X84:AC84" si="47">EXP(X82)/(1+EXP(X82)+EXP(X77))</f>
        <v>0.28441903766041293</v>
      </c>
      <c r="Y84">
        <f t="shared" si="47"/>
        <v>0.35346708687984979</v>
      </c>
      <c r="Z84">
        <f t="shared" si="47"/>
        <v>0.33943285778604654</v>
      </c>
      <c r="AA84">
        <f t="shared" si="47"/>
        <v>0.40245812620181354</v>
      </c>
      <c r="AB84">
        <f t="shared" si="47"/>
        <v>0.49318196369429268</v>
      </c>
      <c r="AC84">
        <f t="shared" si="47"/>
        <v>0.48298217214311434</v>
      </c>
      <c r="AE84">
        <f>EXP(AE82)/(1+EXP(AE82)+EXP(AE77))</f>
        <v>0.16386235245409017</v>
      </c>
      <c r="AF84">
        <f t="shared" ref="AF84:AJ84" si="48">EXP(AF82)/(1+EXP(AF82)+EXP(AF77))</f>
        <v>0.23774088998872833</v>
      </c>
      <c r="AG84">
        <f t="shared" si="48"/>
        <v>0.23571965691719338</v>
      </c>
      <c r="AH84">
        <f t="shared" si="48"/>
        <v>0.29957251975355187</v>
      </c>
      <c r="AI84">
        <f t="shared" si="48"/>
        <v>0.38963504407866634</v>
      </c>
      <c r="AJ84">
        <f t="shared" si="48"/>
        <v>0.38963504407866634</v>
      </c>
    </row>
    <row r="85" spans="5:36" x14ac:dyDescent="0.25">
      <c r="E85" t="str">
        <f t="shared" si="16"/>
        <v>T3p*</v>
      </c>
      <c r="F85" s="7" t="s">
        <v>159</v>
      </c>
      <c r="G85" s="7" t="s">
        <v>166</v>
      </c>
      <c r="I85" t="s">
        <v>27</v>
      </c>
      <c r="J85" cm="1">
        <f t="array" ref="J85:O85">(J84:O84+$AE84:$AJ84)/2</f>
        <v>0.24474666635537706</v>
      </c>
      <c r="K85">
        <v>0.33080015548978625</v>
      </c>
      <c r="L85">
        <v>0.3390394694482719</v>
      </c>
      <c r="M85">
        <v>0.41967391694201117</v>
      </c>
      <c r="N85">
        <v>0.5270748404163228</v>
      </c>
      <c r="O85">
        <v>0.53940556061736245</v>
      </c>
      <c r="Q85" cm="1">
        <f t="array" ref="Q85:V85">(Q84:V84+$AE84:$AJ84)/2</f>
        <v>0.22768650653058531</v>
      </c>
      <c r="R85">
        <v>0.31365675767119933</v>
      </c>
      <c r="S85">
        <v>0.3195436039907138</v>
      </c>
      <c r="T85">
        <v>0.39837884439510951</v>
      </c>
      <c r="U85">
        <v>0.50434300877680993</v>
      </c>
      <c r="V85">
        <v>0.51466780734117656</v>
      </c>
      <c r="X85" cm="1">
        <f t="array" ref="X85:AC85">(X84:AC84+$AE84:$AJ84)/2</f>
        <v>0.22414069505725154</v>
      </c>
      <c r="Y85">
        <v>0.29560398843428903</v>
      </c>
      <c r="Z85">
        <v>0.28757625735161996</v>
      </c>
      <c r="AA85">
        <v>0.35101532297768268</v>
      </c>
      <c r="AB85">
        <v>0.44140850388647951</v>
      </c>
      <c r="AC85">
        <v>0.43630860811089034</v>
      </c>
      <c r="AE85" cm="1">
        <f t="array" ref="AE85:AJ85">(AE84:AJ84+$AE84:$AJ84)/2</f>
        <v>0.16386235245409017</v>
      </c>
      <c r="AF85">
        <v>0.23774088998872833</v>
      </c>
      <c r="AG85">
        <v>0.23571965691719338</v>
      </c>
      <c r="AH85">
        <v>0.29957251975355187</v>
      </c>
      <c r="AI85">
        <v>0.38963504407866634</v>
      </c>
      <c r="AJ85">
        <v>0.38963504407866634</v>
      </c>
    </row>
    <row r="86" spans="5:36" x14ac:dyDescent="0.25">
      <c r="E86" t="str">
        <f t="shared" si="16"/>
        <v/>
      </c>
    </row>
    <row r="87" spans="5:36" x14ac:dyDescent="0.25">
      <c r="E87" t="str">
        <f t="shared" si="16"/>
        <v>T1e^lambda-1</v>
      </c>
      <c r="F87" s="7" t="s">
        <v>143</v>
      </c>
      <c r="G87" s="7" t="s">
        <v>146</v>
      </c>
      <c r="I87" t="s">
        <v>28</v>
      </c>
      <c r="J87" cm="1">
        <f t="array" ref="J87:O87">EXP(J73:O73)-1</f>
        <v>9.6687044303290683</v>
      </c>
      <c r="K87">
        <v>8.1021073359397118</v>
      </c>
      <c r="L87">
        <v>6.7655500249351341</v>
      </c>
      <c r="M87">
        <v>5.6252533577208403</v>
      </c>
      <c r="N87">
        <v>4.6523983379217144</v>
      </c>
      <c r="O87">
        <v>3.822397762842864</v>
      </c>
      <c r="Q87" cm="1">
        <f t="array" ref="Q87:V87">EXP(Q73:V73)-1</f>
        <v>1.5094625603223943</v>
      </c>
      <c r="R87">
        <v>1.9625376487364088</v>
      </c>
      <c r="S87">
        <v>2.4974139319508724</v>
      </c>
      <c r="T87">
        <v>3.1288603426259431</v>
      </c>
      <c r="U87">
        <v>3.8743122949133024</v>
      </c>
      <c r="V87">
        <v>4.7543531087884618</v>
      </c>
      <c r="X87" cm="1">
        <f t="array" ref="X87:AC87">EXP(X73:AC73)-1</f>
        <v>0.83287738972909287</v>
      </c>
      <c r="Y87">
        <v>0.41806627059861801</v>
      </c>
      <c r="Z87">
        <v>9.7133915818938155E-2</v>
      </c>
      <c r="AA87">
        <v>-0.15116602503205367</v>
      </c>
      <c r="AB87">
        <v>-0.34327149432613768</v>
      </c>
      <c r="AC87">
        <v>-0.49190025036296336</v>
      </c>
      <c r="AE87">
        <f t="shared" ref="AE87:AJ87" si="49">EXP(AE73)-1</f>
        <v>0</v>
      </c>
      <c r="AF87">
        <f t="shared" si="49"/>
        <v>0</v>
      </c>
      <c r="AG87">
        <f t="shared" si="49"/>
        <v>0</v>
      </c>
      <c r="AH87">
        <f t="shared" si="49"/>
        <v>0</v>
      </c>
      <c r="AI87">
        <f t="shared" si="49"/>
        <v>0</v>
      </c>
      <c r="AJ87">
        <f t="shared" si="49"/>
        <v>0</v>
      </c>
    </row>
    <row r="88" spans="5:36" x14ac:dyDescent="0.25">
      <c r="E88" t="str">
        <f t="shared" si="16"/>
        <v>T2e^lambda-1</v>
      </c>
      <c r="F88" s="7" t="s">
        <v>158</v>
      </c>
      <c r="G88" s="7" t="s">
        <v>146</v>
      </c>
      <c r="I88" t="s">
        <v>0</v>
      </c>
      <c r="J88" cm="1">
        <f t="array" ref="J88:O88">EXP(J78:O78)-1</f>
        <v>1.6053588077490977</v>
      </c>
      <c r="K88">
        <v>1.4389674070629641</v>
      </c>
      <c r="L88">
        <v>1.2832026034274735</v>
      </c>
      <c r="M88">
        <v>1.1373857285676365</v>
      </c>
      <c r="N88">
        <v>1.0008814573996361</v>
      </c>
      <c r="O88">
        <v>0.87309503991525395</v>
      </c>
      <c r="Q88" cm="1">
        <f t="array" ref="Q88:V88">EXP(Q78:V78)-1</f>
        <v>0.9819115211946241</v>
      </c>
      <c r="R88">
        <v>0.87750222495227304</v>
      </c>
      <c r="S88">
        <v>0.77859332619247579</v>
      </c>
      <c r="T88">
        <v>0.68489505787767002</v>
      </c>
      <c r="U88">
        <v>0.59613291821909153</v>
      </c>
      <c r="V88">
        <v>0.51204686648654274</v>
      </c>
      <c r="X88" cm="1">
        <f t="array" ref="X88:AC88">EXP(X78:AC78)-1</f>
        <v>0.97210705749122561</v>
      </c>
      <c r="Y88">
        <v>0.71444611031679206</v>
      </c>
      <c r="Z88">
        <v>0.49044924007299029</v>
      </c>
      <c r="AA88">
        <v>0.29571814702515264</v>
      </c>
      <c r="AB88">
        <v>0.12642918080730925</v>
      </c>
      <c r="AC88">
        <v>-2.0741739021430283E-2</v>
      </c>
      <c r="AE88">
        <f t="shared" ref="AE88:AJ88" si="50">EXP(AE78)-1</f>
        <v>0</v>
      </c>
      <c r="AF88">
        <f t="shared" si="50"/>
        <v>0</v>
      </c>
      <c r="AG88">
        <f t="shared" si="50"/>
        <v>0</v>
      </c>
      <c r="AH88">
        <f t="shared" si="50"/>
        <v>0</v>
      </c>
      <c r="AI88">
        <f t="shared" si="50"/>
        <v>0</v>
      </c>
      <c r="AJ88">
        <f t="shared" si="50"/>
        <v>0</v>
      </c>
    </row>
    <row r="89" spans="5:36" x14ac:dyDescent="0.25">
      <c r="E89" t="str">
        <f t="shared" si="16"/>
        <v>T3e^lambda-1</v>
      </c>
      <c r="F89" s="7" t="s">
        <v>167</v>
      </c>
      <c r="G89" s="7" t="s">
        <v>146</v>
      </c>
      <c r="I89" t="s">
        <v>1</v>
      </c>
      <c r="J89" cm="1">
        <f t="array" ref="J89:O89">EXP(J83:O83)-1</f>
        <v>2.8320218787060232</v>
      </c>
      <c r="K89">
        <v>3.0852167766898786</v>
      </c>
      <c r="L89">
        <v>3.3551411345761677</v>
      </c>
      <c r="M89">
        <v>3.6429003254622749</v>
      </c>
      <c r="N89">
        <v>3.9496727582573588</v>
      </c>
      <c r="O89">
        <v>4.2767147034102475</v>
      </c>
      <c r="Q89" cm="1">
        <f t="array" ref="Q89:V89">EXP(Q83:V83)-1</f>
        <v>1.8125546511038748</v>
      </c>
      <c r="R89">
        <v>1.9595011708966852</v>
      </c>
      <c r="S89">
        <v>2.1141251520574884</v>
      </c>
      <c r="T89">
        <v>2.2768277161177108</v>
      </c>
      <c r="U89">
        <v>2.4480309418595225</v>
      </c>
      <c r="V89">
        <v>2.628178960261697</v>
      </c>
      <c r="X89" cm="1">
        <f t="array" ref="X89:AC89">EXP(X83:AC83)-1</f>
        <v>1.7100603542280428</v>
      </c>
      <c r="Y89">
        <v>1.3898826574752148</v>
      </c>
      <c r="Z89">
        <v>1.1075320730735969</v>
      </c>
      <c r="AA89">
        <v>0.85853955010757987</v>
      </c>
      <c r="AB89">
        <v>0.63896402975095468</v>
      </c>
      <c r="AC89">
        <v>0.44533006610593762</v>
      </c>
      <c r="AE89">
        <f t="shared" ref="AE89:AJ89" si="51">EXP(AE83)-1</f>
        <v>0</v>
      </c>
      <c r="AF89">
        <f t="shared" si="51"/>
        <v>0</v>
      </c>
      <c r="AG89">
        <f t="shared" si="51"/>
        <v>0</v>
      </c>
      <c r="AH89">
        <f t="shared" si="51"/>
        <v>0</v>
      </c>
      <c r="AI89">
        <f t="shared" si="51"/>
        <v>0</v>
      </c>
      <c r="AJ89">
        <f t="shared" si="51"/>
        <v>0</v>
      </c>
    </row>
    <row r="90" spans="5:36" x14ac:dyDescent="0.25">
      <c r="E90" t="str">
        <f t="shared" si="16"/>
        <v/>
      </c>
      <c r="G90" s="7"/>
    </row>
    <row r="91" spans="5:36" x14ac:dyDescent="0.25">
      <c r="E91" t="str">
        <f t="shared" si="16"/>
        <v>T1R</v>
      </c>
      <c r="F91" s="7" t="s">
        <v>143</v>
      </c>
      <c r="G91" s="7" t="s">
        <v>149</v>
      </c>
      <c r="I91" t="s">
        <v>29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</row>
    <row r="92" spans="5:36" x14ac:dyDescent="0.25">
      <c r="E92" t="str">
        <f t="shared" si="16"/>
        <v>T2R</v>
      </c>
      <c r="F92" s="7" t="s">
        <v>158</v>
      </c>
      <c r="G92" s="7" t="s">
        <v>149</v>
      </c>
      <c r="I92" t="s">
        <v>30</v>
      </c>
      <c r="J92" cm="1">
        <f t="array" ref="J92:O92">_xlfn.ANCHORARRAY(J$75)</f>
        <v>0.94863189889455091</v>
      </c>
      <c r="K92">
        <v>0.98902028722128255</v>
      </c>
      <c r="L92">
        <v>0.9967420407169334</v>
      </c>
      <c r="M92">
        <v>0.9946326642796175</v>
      </c>
      <c r="N92">
        <v>0.994997324515421</v>
      </c>
      <c r="O92">
        <v>0.9948673507134882</v>
      </c>
      <c r="Q92" cm="1">
        <f t="array" ref="Q92:V92">_xlfn.ANCHORARRAY(Q$75)</f>
        <v>0.93373105417188929</v>
      </c>
      <c r="R92">
        <v>0.98674705471408342</v>
      </c>
      <c r="S92">
        <v>0.99628718262147642</v>
      </c>
      <c r="T92">
        <v>0.99420510679678031</v>
      </c>
      <c r="U92">
        <v>0.9948767757036171</v>
      </c>
      <c r="V92">
        <v>0.99501070821641302</v>
      </c>
      <c r="X92" cm="1">
        <f t="array" ref="X92:AC92">_xlfn.ANCHORARRAY(X$75)</f>
        <v>0.92685511654338759</v>
      </c>
      <c r="Y92">
        <v>0.9831199152334561</v>
      </c>
      <c r="Z92">
        <v>0.99448480560756292</v>
      </c>
      <c r="AA92">
        <v>0.98986231190630125</v>
      </c>
      <c r="AB92">
        <v>0.98931675972328281</v>
      </c>
      <c r="AC92">
        <v>0.98746501088317351</v>
      </c>
      <c r="AE92" cm="1">
        <f t="array" ref="AE92:AJ92">_xlfn.ANCHORARRAY(AE$75)</f>
        <v>0.90680500659487251</v>
      </c>
      <c r="AF92">
        <v>0.98024930885797723</v>
      </c>
      <c r="AG92">
        <v>0.99423076167908364</v>
      </c>
      <c r="AH92">
        <v>0.99068285072524942</v>
      </c>
      <c r="AI92">
        <v>0.99150765667602792</v>
      </c>
      <c r="AJ92">
        <v>0.99150765667602792</v>
      </c>
    </row>
    <row r="93" spans="5:36" x14ac:dyDescent="0.25">
      <c r="E93" t="str">
        <f t="shared" si="16"/>
        <v>T3R</v>
      </c>
      <c r="F93" s="7" t="s">
        <v>167</v>
      </c>
      <c r="G93" s="7" t="s">
        <v>149</v>
      </c>
      <c r="I93" t="s">
        <v>31</v>
      </c>
      <c r="J93" cm="1">
        <f t="array" ref="J93:O93">_xlfn.ANCHORARRAY(J$75)</f>
        <v>0.94863189889455091</v>
      </c>
      <c r="K93">
        <v>0.98902028722128255</v>
      </c>
      <c r="L93">
        <v>0.9967420407169334</v>
      </c>
      <c r="M93">
        <v>0.9946326642796175</v>
      </c>
      <c r="N93">
        <v>0.994997324515421</v>
      </c>
      <c r="O93">
        <v>0.9948673507134882</v>
      </c>
      <c r="Q93" cm="1">
        <f t="array" ref="Q93:V93">_xlfn.ANCHORARRAY(Q$75)</f>
        <v>0.93373105417188929</v>
      </c>
      <c r="R93">
        <v>0.98674705471408342</v>
      </c>
      <c r="S93">
        <v>0.99628718262147642</v>
      </c>
      <c r="T93">
        <v>0.99420510679678031</v>
      </c>
      <c r="U93">
        <v>0.9948767757036171</v>
      </c>
      <c r="V93">
        <v>0.99501070821641302</v>
      </c>
      <c r="X93" cm="1">
        <f t="array" ref="X93:AC93">_xlfn.ANCHORARRAY(X$75)</f>
        <v>0.92685511654338759</v>
      </c>
      <c r="Y93">
        <v>0.9831199152334561</v>
      </c>
      <c r="Z93">
        <v>0.99448480560756292</v>
      </c>
      <c r="AA93">
        <v>0.98986231190630125</v>
      </c>
      <c r="AB93">
        <v>0.98931675972328281</v>
      </c>
      <c r="AC93">
        <v>0.98746501088317351</v>
      </c>
      <c r="AE93" cm="1">
        <f t="array" ref="AE93:AJ93">_xlfn.ANCHORARRAY(AE$75)</f>
        <v>0.90680500659487251</v>
      </c>
      <c r="AF93">
        <v>0.98024930885797723</v>
      </c>
      <c r="AG93">
        <v>0.99423076167908364</v>
      </c>
      <c r="AH93">
        <v>0.99068285072524942</v>
      </c>
      <c r="AI93">
        <v>0.99150765667602792</v>
      </c>
      <c r="AJ93">
        <v>0.99150765667602792</v>
      </c>
    </row>
    <row r="94" spans="5:36" x14ac:dyDescent="0.25">
      <c r="E94" t="str">
        <f t="shared" si="16"/>
        <v/>
      </c>
    </row>
    <row r="95" spans="5:36" x14ac:dyDescent="0.25">
      <c r="E95" t="str">
        <f t="shared" si="16"/>
        <v>T1D</v>
      </c>
      <c r="F95" s="7" t="s">
        <v>143</v>
      </c>
      <c r="G95" s="7" t="s">
        <v>151</v>
      </c>
      <c r="I95" t="s">
        <v>32</v>
      </c>
      <c r="J95" cm="1">
        <f t="array" ref="J95:O95">$AE$74:$AJ$74*(1-J74:O74)</f>
        <v>8.6520159140399521E-3</v>
      </c>
      <c r="K95">
        <v>2.1651103841586867E-3</v>
      </c>
      <c r="L95">
        <v>7.4237246893278056E-4</v>
      </c>
      <c r="M95">
        <v>1.4043149003934046E-3</v>
      </c>
      <c r="N95">
        <v>1.5001586648112021E-3</v>
      </c>
      <c r="O95">
        <v>1.7578987043785383E-3</v>
      </c>
      <c r="Q95" cm="1">
        <f t="array" ref="Q95:V95">$AE$74:$AJ$74*(1-Q74:V74)</f>
        <v>3.5676337108044534E-2</v>
      </c>
      <c r="R95">
        <v>6.6217795722694458E-3</v>
      </c>
      <c r="S95">
        <v>1.6468402903368476E-3</v>
      </c>
      <c r="T95">
        <v>2.2514626322853973E-3</v>
      </c>
      <c r="U95">
        <v>1.7392088046247307E-3</v>
      </c>
      <c r="V95">
        <v>1.473618580794811E-3</v>
      </c>
      <c r="X95" cm="1">
        <f t="array" ref="X95:AC95">$AE$74:$AJ$74*(1-X74:AC74)</f>
        <v>4.8146606441163559E-2</v>
      </c>
      <c r="Y95">
        <v>1.3732781510302265E-2</v>
      </c>
      <c r="Z95">
        <v>5.2307976330890366E-3</v>
      </c>
      <c r="AA95">
        <v>1.0856127476715088E-2</v>
      </c>
      <c r="AB95">
        <v>1.2764805636109875E-2</v>
      </c>
      <c r="AC95">
        <v>1.6436851942528419E-2</v>
      </c>
      <c r="AE95" cm="1">
        <f t="array" ref="AE95:AJ95">AE74:AJ74*(1-$AE74:$AJ74)</f>
        <v>8.4509686609345741E-2</v>
      </c>
      <c r="AF95">
        <v>1.9360601341435194E-2</v>
      </c>
      <c r="AG95">
        <v>5.7359542101128288E-3</v>
      </c>
      <c r="AH95">
        <v>9.2303400041425943E-3</v>
      </c>
      <c r="AI95">
        <v>8.4202234288398708E-3</v>
      </c>
      <c r="AJ95">
        <v>8.4202234288398708E-3</v>
      </c>
    </row>
    <row r="96" spans="5:36" x14ac:dyDescent="0.25">
      <c r="E96" t="str">
        <f t="shared" si="16"/>
        <v>T2D</v>
      </c>
      <c r="F96" s="7" t="s">
        <v>158</v>
      </c>
      <c r="G96" s="7" t="s">
        <v>151</v>
      </c>
      <c r="I96" t="s">
        <v>33</v>
      </c>
      <c r="J96" cm="1">
        <f t="array" ref="J96:O96">$AE$79:$AJ$79*(1-J79:O79)</f>
        <v>0.17619874618477535</v>
      </c>
      <c r="K96">
        <v>0.22770844963146997</v>
      </c>
      <c r="L96">
        <v>0.24517177798534159</v>
      </c>
      <c r="M96">
        <v>0.27571326808261826</v>
      </c>
      <c r="N96">
        <v>0.27213754387408118</v>
      </c>
      <c r="O96">
        <v>0.28024826518216961</v>
      </c>
      <c r="Q96" cm="1">
        <f t="array" ref="Q96:V96">$AE$79:$AJ$79*(1-Q79:V79)</f>
        <v>0.18435301951274627</v>
      </c>
      <c r="R96">
        <v>0.23144489069806215</v>
      </c>
      <c r="S96">
        <v>0.24627884051966009</v>
      </c>
      <c r="T96">
        <v>0.27136107855857405</v>
      </c>
      <c r="U96">
        <v>0.26607197627372153</v>
      </c>
      <c r="V96">
        <v>0.27282429307446354</v>
      </c>
      <c r="X96" cm="1">
        <f t="array" ref="X96:AC96">$AE$79:$AJ$79*(1-X79:AC79)</f>
        <v>0.18356000819160626</v>
      </c>
      <c r="Y96">
        <v>0.22738262341620935</v>
      </c>
      <c r="Z96">
        <v>0.23928525910189058</v>
      </c>
      <c r="AA96">
        <v>0.25619576380943332</v>
      </c>
      <c r="AB96">
        <v>0.24835805271668565</v>
      </c>
      <c r="AC96">
        <v>0.25232035942002079</v>
      </c>
      <c r="AE96" cm="1">
        <f t="array" ref="AE96:AJ96">AE79:AJ79*(1-$AE79:$AJ79)</f>
        <v>0.20556306311053879</v>
      </c>
      <c r="AF96">
        <v>0.2373903214179435</v>
      </c>
      <c r="AG96">
        <v>0.2424154496080243</v>
      </c>
      <c r="AH96">
        <v>0.24464648454491827</v>
      </c>
      <c r="AI96">
        <v>0.23122184023242223</v>
      </c>
      <c r="AJ96">
        <v>0.23122184023242223</v>
      </c>
    </row>
    <row r="97" spans="3:36" x14ac:dyDescent="0.25">
      <c r="E97" t="str">
        <f t="shared" si="16"/>
        <v>T3D</v>
      </c>
      <c r="F97" s="7" t="s">
        <v>167</v>
      </c>
      <c r="G97" s="7" t="s">
        <v>151</v>
      </c>
      <c r="I97" t="s">
        <v>34</v>
      </c>
      <c r="J97" cm="1">
        <f t="array" ref="J97:O97">$AE$84:$AJ$84*(1-J84:O84)</f>
        <v>0.11050369399730182</v>
      </c>
      <c r="K97">
        <v>0.13697217401225795</v>
      </c>
      <c r="L97">
        <v>0.13144687873488486</v>
      </c>
      <c r="M97">
        <v>0.13787066879872187</v>
      </c>
      <c r="N97">
        <v>0.13071685429611071</v>
      </c>
      <c r="O97">
        <v>0.12110789287800311</v>
      </c>
      <c r="Q97" cm="1">
        <f t="array" ref="Q97:V97">$AE$84:$AJ$84*(1-Q84:V84)</f>
        <v>0.11609472984156809</v>
      </c>
      <c r="R97">
        <v>0.14512354732190133</v>
      </c>
      <c r="S97">
        <v>0.1406379961688036</v>
      </c>
      <c r="T97">
        <v>0.15062950588114188</v>
      </c>
      <c r="U97">
        <v>0.14843109074181152</v>
      </c>
      <c r="V97">
        <v>0.14038528405435083</v>
      </c>
      <c r="X97" cm="1">
        <f t="array" ref="X97:AC97">$AE$84:$AJ$84*(1-X84:AC84)</f>
        <v>0.11725677986032643</v>
      </c>
      <c r="Y97">
        <v>0.15370731017218969</v>
      </c>
      <c r="Z97">
        <v>0.15570866013344398</v>
      </c>
      <c r="AA97">
        <v>0.17900712479198161</v>
      </c>
      <c r="AB97">
        <v>0.19747406791583738</v>
      </c>
      <c r="AC97">
        <v>0.20144826414647396</v>
      </c>
      <c r="AE97" cm="1">
        <f t="array" ref="AE97:AJ97">AE84:AJ84*(1-$AE84:$AJ84)</f>
        <v>0.1370114819023017</v>
      </c>
      <c r="AF97">
        <v>0.18122015921609572</v>
      </c>
      <c r="AG97">
        <v>0.18015590026003403</v>
      </c>
      <c r="AH97">
        <v>0.20982882516205964</v>
      </c>
      <c r="AI97">
        <v>0.23781957650448207</v>
      </c>
      <c r="AJ97">
        <v>0.23781957650448207</v>
      </c>
    </row>
    <row r="98" spans="3:36" x14ac:dyDescent="0.25">
      <c r="E98" t="str">
        <f t="shared" si="16"/>
        <v/>
      </c>
    </row>
    <row r="99" spans="3:36" x14ac:dyDescent="0.25">
      <c r="C99" s="2" t="s">
        <v>46</v>
      </c>
      <c r="D99" s="3">
        <v>9</v>
      </c>
      <c r="E99" t="str">
        <f t="shared" si="16"/>
        <v>T1G</v>
      </c>
      <c r="F99" s="7" t="s">
        <v>143</v>
      </c>
      <c r="G99" s="7" t="s">
        <v>153</v>
      </c>
      <c r="I99" t="s">
        <v>35</v>
      </c>
      <c r="J99" cm="1">
        <f t="array" ref="J99:O99">($D$100-$D$99)+_xlfn.ANCHORARRAY(J80)*($D$101-$D$100)+_xlfn.ANCHORARRAY(J85)*($D$102-$D$100)</f>
        <v>4.6589218698494159</v>
      </c>
      <c r="K99">
        <v>5.1235870960050782</v>
      </c>
      <c r="L99">
        <v>5.1753038670201699</v>
      </c>
      <c r="M99">
        <v>5.459575702576835</v>
      </c>
      <c r="N99">
        <v>5.7215066931660754</v>
      </c>
      <c r="O99">
        <v>5.7484839314701688</v>
      </c>
      <c r="Q99" cm="1">
        <f t="array" ref="Q99:V99">($D$100-$D$99)+_xlfn.ANCHORARRAY(Q80)*($D$101-$D$100)+_xlfn.ANCHORARRAY(Q85)*($D$102-$D$100)</f>
        <v>4.5624851960291526</v>
      </c>
      <c r="R99">
        <v>5.0453762286908459</v>
      </c>
      <c r="S99">
        <v>5.094639286489846</v>
      </c>
      <c r="T99">
        <v>5.3845918987897736</v>
      </c>
      <c r="U99">
        <v>5.6472904580152035</v>
      </c>
      <c r="V99">
        <v>5.6699865155669249</v>
      </c>
      <c r="X99" cm="1">
        <f t="array" ref="X99:AC99">($D$100-$D$99)+_xlfn.ANCHORARRAY(X80)*($D$101-$D$100)+_xlfn.ANCHORARRAY(X85)*($D$102-$D$100)</f>
        <v>4.5510440429854384</v>
      </c>
      <c r="Y99">
        <v>4.9836428203174652</v>
      </c>
      <c r="Z99">
        <v>4.9837071743317392</v>
      </c>
      <c r="AA99">
        <v>5.2306677285213441</v>
      </c>
      <c r="AB99">
        <v>5.4443556198286727</v>
      </c>
      <c r="AC99">
        <v>5.4130395860550244</v>
      </c>
      <c r="AE99" cm="1">
        <f t="array" ref="AE99:AJ99">($D$100-$D$99)+_xlfn.ANCHORARRAY(AE80)*($D$101-$D$100)+_xlfn.ANCHORARRAY(AE85)*($D$102-$D$100)</f>
        <v>4.2338480014246844</v>
      </c>
      <c r="AF99">
        <v>4.7263779096381002</v>
      </c>
      <c r="AG99">
        <v>4.7686999792416405</v>
      </c>
      <c r="AH99">
        <v>5.0519546362112866</v>
      </c>
      <c r="AI99">
        <v>5.2844733248526339</v>
      </c>
      <c r="AJ99">
        <v>5.2844733248526339</v>
      </c>
    </row>
    <row r="100" spans="3:36" x14ac:dyDescent="0.25">
      <c r="C100" s="2" t="s">
        <v>47</v>
      </c>
      <c r="D100" s="3">
        <v>12</v>
      </c>
      <c r="E100" t="str">
        <f t="shared" si="16"/>
        <v>T2G</v>
      </c>
      <c r="F100" s="7" t="s">
        <v>158</v>
      </c>
      <c r="G100" s="7" t="s">
        <v>153</v>
      </c>
      <c r="I100" t="s">
        <v>36</v>
      </c>
      <c r="J100" cm="1">
        <f t="array" ref="J100:O100">($D$101-$D$100)-J84:O84/(1-J79:O79)*($D$102-$D$100)</f>
        <v>-0.13786425207566522</v>
      </c>
      <c r="K100">
        <v>-0.88673237920359327</v>
      </c>
      <c r="L100">
        <v>-0.98003092465913033</v>
      </c>
      <c r="M100">
        <v>-1.3425091054016756</v>
      </c>
      <c r="N100">
        <v>-1.5452161112439917</v>
      </c>
      <c r="O100">
        <v>-1.5703754259583844</v>
      </c>
      <c r="Q100" cm="1">
        <f t="array" ref="Q100:V100">($D$101-$D$100)-Q84:V84/(1-Q79:V79)*($D$102-$D$100)</f>
        <v>0.17079908992442916</v>
      </c>
      <c r="R100">
        <v>-0.61038559141990367</v>
      </c>
      <c r="S100">
        <v>-0.70514133896055764</v>
      </c>
      <c r="T100">
        <v>-1.1281520505825013</v>
      </c>
      <c r="U100">
        <v>-1.3779553079867233</v>
      </c>
      <c r="V100">
        <v>-1.4042411993943924</v>
      </c>
      <c r="X100" cm="1">
        <f t="array" ref="X100:AC100">($D$101-$D$100)-X84:AC84/(1-X79:AC79)*($D$102-$D$100)</f>
        <v>0.207588107779348</v>
      </c>
      <c r="Y100">
        <v>-0.41076866111846133</v>
      </c>
      <c r="Z100">
        <v>-0.34290154301359577</v>
      </c>
      <c r="AA100">
        <v>-0.68204464418850819</v>
      </c>
      <c r="AB100">
        <v>-0.8830724978758302</v>
      </c>
      <c r="AC100">
        <v>-0.77910803327540101</v>
      </c>
      <c r="AE100" cm="1">
        <f t="array" ref="AE100:AJ100">($D$101-$D$100)-AE84:AJ84/(1-AE79:AJ79)*($D$102-$D$100)</f>
        <v>1.0778717494970671</v>
      </c>
      <c r="AF100">
        <v>0.44688109858401659</v>
      </c>
      <c r="AG100">
        <v>0.39397756221882685</v>
      </c>
      <c r="AH100">
        <v>-9.0644734990050768E-2</v>
      </c>
      <c r="AI100">
        <v>-0.44655949493732106</v>
      </c>
      <c r="AJ100">
        <v>-0.44655949493732106</v>
      </c>
    </row>
    <row r="101" spans="3:36" x14ac:dyDescent="0.25">
      <c r="C101" s="2" t="s">
        <v>48</v>
      </c>
      <c r="D101" s="3">
        <v>14</v>
      </c>
      <c r="E101" t="str">
        <f t="shared" si="16"/>
        <v>T3G</v>
      </c>
      <c r="F101" s="7" t="s">
        <v>167</v>
      </c>
      <c r="G101" s="7" t="s">
        <v>153</v>
      </c>
      <c r="I101" t="s">
        <v>37</v>
      </c>
      <c r="J101" cm="1">
        <f t="array" ref="J101:O101">($D$102-$D$100)-J79:O79/(1-J84:O84)*($D$101-$D$100)</f>
        <v>2.8411807269187452</v>
      </c>
      <c r="K101">
        <v>2.5674353994850891</v>
      </c>
      <c r="L101">
        <v>2.5430213386045959</v>
      </c>
      <c r="M101">
        <v>2.4614134483406644</v>
      </c>
      <c r="N101">
        <v>2.5081867369081507</v>
      </c>
      <c r="O101">
        <v>2.5336063411942984</v>
      </c>
      <c r="Q101" cm="1">
        <f t="array" ref="Q101:V101">($D$102-$D$100)-Q79:V79/(1-Q84:V84)*($D$101-$D$100)</f>
        <v>2.9765834037438097</v>
      </c>
      <c r="R101">
        <v>2.6794759216099351</v>
      </c>
      <c r="S101">
        <v>2.6472267961275291</v>
      </c>
      <c r="T101">
        <v>2.5511793997287304</v>
      </c>
      <c r="U101">
        <v>2.5984904538327882</v>
      </c>
      <c r="V101">
        <v>2.6214315556960726</v>
      </c>
      <c r="X101" cm="1">
        <f t="array" ref="X101:AC101">($D$102-$D$100)-X79:AC79/(1-X84:AC84)*($D$101-$D$100)</f>
        <v>2.9790618080224398</v>
      </c>
      <c r="Y101">
        <v>2.7208085362798284</v>
      </c>
      <c r="Z101">
        <v>2.7268774292057305</v>
      </c>
      <c r="AA101">
        <v>2.6619375962023586</v>
      </c>
      <c r="AB101">
        <v>2.7539708242612324</v>
      </c>
      <c r="AC101">
        <v>2.8207811687806621</v>
      </c>
      <c r="AE101" cm="1">
        <f t="array" ref="AE101:AJ101">($D$102-$D$100)-AE79:AJ79/(1-AE84:AJ84)*($D$101-$D$100)</f>
        <v>3.3082495528027689</v>
      </c>
      <c r="AF101">
        <v>2.9827417744187796</v>
      </c>
      <c r="AG101">
        <v>2.9194784884276519</v>
      </c>
      <c r="AH101">
        <v>2.7812234938344877</v>
      </c>
      <c r="AI101">
        <v>2.8106572281133229</v>
      </c>
      <c r="AJ101">
        <v>2.8106572281133229</v>
      </c>
    </row>
    <row r="102" spans="3:36" x14ac:dyDescent="0.25">
      <c r="C102" s="2" t="s">
        <v>49</v>
      </c>
      <c r="D102" s="3">
        <v>16</v>
      </c>
    </row>
    <row r="103" spans="3:36" x14ac:dyDescent="0.25">
      <c r="E103" t="str">
        <f t="shared" ref="E103:E106" si="52">_xlfn.TEXTJOIN("",TRUE,F103:G103)</f>
        <v>D(L)</v>
      </c>
      <c r="F103" s="7" t="s">
        <v>163</v>
      </c>
      <c r="I103" t="s">
        <v>38</v>
      </c>
      <c r="J103">
        <f>SUMPRODUCT(J87:J89,J91:J93,J95:J97,J99:J101)</f>
        <v>1.1962137085140205</v>
      </c>
      <c r="K103">
        <f t="shared" ref="K103:N103" si="53">SUMPRODUCT(K87:K89,K91:K93,K95:K97,K99:K101)</f>
        <v>0.87557363029834767</v>
      </c>
      <c r="L103">
        <f t="shared" si="53"/>
        <v>0.83655164196712051</v>
      </c>
      <c r="M103">
        <f t="shared" si="53"/>
        <v>0.85399506673359549</v>
      </c>
      <c r="N103">
        <f t="shared" si="53"/>
        <v>0.90962638019170128</v>
      </c>
      <c r="O103">
        <f>SUMPRODUCT(O87:O89,O91:O93,O95:O97,O99:O101)</f>
        <v>0.9618843001950832</v>
      </c>
      <c r="Q103">
        <f>SUMPRODUCT(Q87:Q89,Q91:Q93,Q95:Q97,Q99:Q101)</f>
        <v>0.85941689523167608</v>
      </c>
      <c r="R103">
        <f t="shared" ref="R103:U103" si="54">SUMPRODUCT(R87:R89,R91:R93,R95:R97,R99:R101)</f>
        <v>0.69510844853302756</v>
      </c>
      <c r="S103">
        <f t="shared" si="54"/>
        <v>0.67041175409316878</v>
      </c>
      <c r="T103">
        <f t="shared" si="54"/>
        <v>0.69935115334932507</v>
      </c>
      <c r="U103">
        <f t="shared" si="54"/>
        <v>0.7599694666944623</v>
      </c>
      <c r="V103">
        <f>SUMPRODUCT(V87:V89,V91:V93,V95:V97,V99:V101)</f>
        <v>0.80690401583342919</v>
      </c>
      <c r="X103">
        <f>SUMPRODUCT(X87:X89,X91:X93,X95:X97,X99:X101)</f>
        <v>0.7704874150205725</v>
      </c>
      <c r="Y103">
        <f t="shared" ref="Y103:AC103" si="55">SUMPRODUCT(Y87:Y89,Y91:Y93,Y95:Y97,Y99:Y101)</f>
        <v>0.5344566680655054</v>
      </c>
      <c r="Z103">
        <f>SUMPRODUCT(Z87:Z89,Z91:Z93,Z95:Z97,Z99:Z101)</f>
        <v>0.43017493832472375</v>
      </c>
      <c r="AA103">
        <f t="shared" si="55"/>
        <v>0.34521877760337399</v>
      </c>
      <c r="AB103">
        <f t="shared" si="55"/>
        <v>0.29249242373134721</v>
      </c>
      <c r="AC103">
        <f t="shared" si="55"/>
        <v>0.21014336561661567</v>
      </c>
      <c r="AE103">
        <f>SUMPRODUCT(AE87:AE89,AE91:AE93,AE95:AE97,AE99:AE101)</f>
        <v>0</v>
      </c>
      <c r="AF103">
        <f t="shared" ref="AF103:AJ103" si="56">SUMPRODUCT(AF87:AF89,AF91:AF93,AF95:AF97,AF99:AF101)</f>
        <v>0</v>
      </c>
      <c r="AG103">
        <f t="shared" si="56"/>
        <v>0</v>
      </c>
      <c r="AH103">
        <f t="shared" si="56"/>
        <v>0</v>
      </c>
      <c r="AI103">
        <f t="shared" si="56"/>
        <v>0</v>
      </c>
      <c r="AJ103">
        <f t="shared" si="56"/>
        <v>0</v>
      </c>
    </row>
    <row r="104" spans="3:36" x14ac:dyDescent="0.25">
      <c r="E104" t="str">
        <f t="shared" si="52"/>
        <v>T1Total</v>
      </c>
      <c r="F104" s="7" t="s">
        <v>143</v>
      </c>
      <c r="G104" s="7" t="s">
        <v>155</v>
      </c>
      <c r="I104" t="s">
        <v>39</v>
      </c>
      <c r="J104" cm="1">
        <f t="array" ref="J104:O106">J87:O89*J91:O93*J95:O97*J99:O101</f>
        <v>0.38973644656561046</v>
      </c>
      <c r="K104">
        <v>8.9877743123145351E-2</v>
      </c>
      <c r="L104">
        <v>2.5993264231500127E-2</v>
      </c>
      <c r="M104">
        <v>4.3128612222269123E-2</v>
      </c>
      <c r="N104">
        <v>3.9932315800029726E-2</v>
      </c>
      <c r="O104">
        <v>3.862629437799503E-2</v>
      </c>
      <c r="Q104" cm="1">
        <f t="array" ref="Q104:V106">Q87:V89*Q91:V93*Q95:V97*Q99:V101</f>
        <v>0.24569938691543225</v>
      </c>
      <c r="R104">
        <v>6.5567144964945645E-2</v>
      </c>
      <c r="S104">
        <v>2.0953445845347942E-2</v>
      </c>
      <c r="T104">
        <v>3.7931823016457811E-2</v>
      </c>
      <c r="U104">
        <v>3.8052787472847634E-2</v>
      </c>
      <c r="V104">
        <v>3.9724509994639216E-2</v>
      </c>
      <c r="X104" cm="1">
        <f t="array" ref="X104:AC106">X87:AC89*X91:AC93*X95:AC97*X99:AC101</f>
        <v>0.18249786688478559</v>
      </c>
      <c r="Y104">
        <v>2.8612153706225548E-2</v>
      </c>
      <c r="Z104">
        <v>2.5321610979142741E-3</v>
      </c>
      <c r="AA104">
        <v>-8.5839318405421007E-3</v>
      </c>
      <c r="AB104">
        <v>-2.3856044274286278E-2</v>
      </c>
      <c r="AC104">
        <v>-4.376600341823874E-2</v>
      </c>
    </row>
    <row r="105" spans="3:36" x14ac:dyDescent="0.25">
      <c r="E105" t="str">
        <f t="shared" si="52"/>
        <v>T2Total</v>
      </c>
      <c r="F105" s="7" t="s">
        <v>158</v>
      </c>
      <c r="G105" s="7" t="s">
        <v>155</v>
      </c>
      <c r="I105" t="s">
        <v>40</v>
      </c>
      <c r="J105">
        <v>-3.6993406279767486E-2</v>
      </c>
      <c r="K105">
        <v>-0.2873610294326609</v>
      </c>
      <c r="L105">
        <v>-0.30731818880093625</v>
      </c>
      <c r="M105">
        <v>-0.41874091547796005</v>
      </c>
      <c r="N105">
        <v>-0.41877644411718451</v>
      </c>
      <c r="O105">
        <v>-0.38227255826989459</v>
      </c>
      <c r="Q105">
        <v>2.8868882061766507E-2</v>
      </c>
      <c r="R105">
        <v>-0.12232238387191177</v>
      </c>
      <c r="S105">
        <v>-0.13470958435202016</v>
      </c>
      <c r="T105">
        <v>-0.20845639162034646</v>
      </c>
      <c r="U105">
        <v>-0.21744361739994722</v>
      </c>
      <c r="V105">
        <v>-0.19519209110399646</v>
      </c>
      <c r="X105">
        <v>3.4332583616901835E-2</v>
      </c>
      <c r="Y105">
        <v>-6.5604034023844918E-2</v>
      </c>
      <c r="Z105">
        <v>-4.0020047764140858E-2</v>
      </c>
      <c r="AA105">
        <v>-5.1149043040214184E-2</v>
      </c>
      <c r="AB105">
        <v>-2.7431988866400948E-2</v>
      </c>
      <c r="AC105">
        <v>4.0263994547764014E-3</v>
      </c>
    </row>
    <row r="106" spans="3:36" x14ac:dyDescent="0.25">
      <c r="E106" t="str">
        <f t="shared" si="52"/>
        <v>T3Total</v>
      </c>
      <c r="F106" s="7" t="s">
        <v>167</v>
      </c>
      <c r="G106" s="7" t="s">
        <v>155</v>
      </c>
      <c r="I106" t="s">
        <v>41</v>
      </c>
      <c r="J106">
        <v>0.84347066822817751</v>
      </c>
      <c r="K106">
        <v>1.0730569166078632</v>
      </c>
      <c r="L106">
        <v>1.1178765665365566</v>
      </c>
      <c r="M106">
        <v>1.2296073699892864</v>
      </c>
      <c r="N106">
        <v>1.2884705085088561</v>
      </c>
      <c r="O106">
        <v>1.3055305640869828</v>
      </c>
      <c r="Q106">
        <v>0.58484862625447731</v>
      </c>
      <c r="R106">
        <v>0.75186368743999366</v>
      </c>
      <c r="S106">
        <v>0.78416789259984099</v>
      </c>
      <c r="T106">
        <v>0.86987572195321372</v>
      </c>
      <c r="U106">
        <v>0.93936029662156184</v>
      </c>
      <c r="V106">
        <v>0.9623715969427864</v>
      </c>
      <c r="X106">
        <v>0.55365696451888513</v>
      </c>
      <c r="Y106">
        <v>0.57144854838312475</v>
      </c>
      <c r="Z106">
        <v>0.46766282499095035</v>
      </c>
      <c r="AA106">
        <v>0.40495175248413029</v>
      </c>
      <c r="AB106">
        <v>0.3437804568720344</v>
      </c>
      <c r="AC106">
        <v>0.24988296958007802</v>
      </c>
    </row>
    <row r="108" spans="3:36" x14ac:dyDescent="0.25">
      <c r="E108" t="str">
        <f t="shared" ref="E108" si="57">_xlfn.TEXTJOIN("",TRUE,F108:G108)</f>
        <v>Expected</v>
      </c>
      <c r="F108" s="7" t="s">
        <v>160</v>
      </c>
      <c r="I108" s="5" t="s">
        <v>50</v>
      </c>
      <c r="J108">
        <f t="shared" ref="J108:O108" si="58">(1-J74)*$D$99+J74*(1-J79-J84)*$D$100+J74*J79*$D$101+J74*J84*$D$102</f>
        <v>14.035488273367625</v>
      </c>
      <c r="K108">
        <f t="shared" si="58"/>
        <v>14.508602309622702</v>
      </c>
      <c r="L108">
        <f t="shared" si="58"/>
        <v>14.57773985454757</v>
      </c>
      <c r="M108">
        <f t="shared" si="58"/>
        <v>14.858879887470037</v>
      </c>
      <c r="N108">
        <f t="shared" si="58"/>
        <v>15.149222143283314</v>
      </c>
      <c r="O108">
        <f t="shared" si="58"/>
        <v>15.201480063286695</v>
      </c>
      <c r="Q108">
        <f t="shared" ref="Q108:V108" si="59">(1-Q74)*$D$99+Q74*(1-Q79-Q84)*$D$100+Q74*Q79*$D$101+Q74*Q84*$D$102</f>
        <v>13.698691460085275</v>
      </c>
      <c r="R108">
        <f t="shared" si="59"/>
        <v>14.328137127857385</v>
      </c>
      <c r="S108">
        <f t="shared" si="59"/>
        <v>14.411599966673617</v>
      </c>
      <c r="T108">
        <f t="shared" si="59"/>
        <v>14.704235974085762</v>
      </c>
      <c r="U108">
        <f t="shared" si="59"/>
        <v>14.999565229786072</v>
      </c>
      <c r="V108">
        <f t="shared" si="59"/>
        <v>15.046499778925043</v>
      </c>
      <c r="X108">
        <f t="shared" ref="X108:AC108" si="60">(1-X74)*$D$99+X74*(1-X79-X84)*$D$100+X74*X79*$D$101+X74*X84*$D$102</f>
        <v>13.609761979874172</v>
      </c>
      <c r="Y108">
        <f t="shared" si="60"/>
        <v>14.167485347389865</v>
      </c>
      <c r="Z108">
        <f t="shared" si="60"/>
        <v>14.171363150905171</v>
      </c>
      <c r="AA108">
        <f t="shared" si="60"/>
        <v>14.350103598339814</v>
      </c>
      <c r="AB108">
        <f t="shared" si="60"/>
        <v>14.532088186822961</v>
      </c>
      <c r="AC108">
        <f t="shared" si="60"/>
        <v>14.449739128708227</v>
      </c>
      <c r="AE108">
        <f t="shared" ref="AE108:AJ108" si="61">(1-AE74)*$D$99+AE74*(1-AE79-AE84)*$D$100+AE74*AE79*$D$101+AE74*AE84*$D$102</f>
        <v>12.8392745648536</v>
      </c>
      <c r="AF108">
        <f t="shared" si="61"/>
        <v>13.633028679324358</v>
      </c>
      <c r="AG108">
        <f t="shared" si="61"/>
        <v>13.741188212580447</v>
      </c>
      <c r="AH108">
        <f t="shared" si="61"/>
        <v>14.004884820736438</v>
      </c>
      <c r="AI108">
        <f t="shared" si="61"/>
        <v>14.239595763091614</v>
      </c>
      <c r="AJ108">
        <f t="shared" si="61"/>
        <v>14.239595763091614</v>
      </c>
    </row>
    <row r="109" spans="3:36" x14ac:dyDescent="0.25">
      <c r="I109" s="5" t="s">
        <v>51</v>
      </c>
      <c r="J109" cm="1">
        <f t="array" ref="J109:O109">J108:O108-$AE$108:$AJ$108</f>
        <v>1.1962137085140245</v>
      </c>
      <c r="K109">
        <v>0.87557363029834434</v>
      </c>
      <c r="L109">
        <v>0.83655164196712306</v>
      </c>
      <c r="M109">
        <v>0.85399506673359937</v>
      </c>
      <c r="N109">
        <v>0.90962638019169972</v>
      </c>
      <c r="O109">
        <v>0.96188430019508075</v>
      </c>
      <c r="Q109" cm="1">
        <f t="array" ref="Q109:V109">Q108:V108-$AE$108:$AJ$108</f>
        <v>0.85941689523167497</v>
      </c>
      <c r="R109">
        <v>0.695108448533027</v>
      </c>
      <c r="S109">
        <v>0.67041175409316978</v>
      </c>
      <c r="T109">
        <v>0.69935115334932441</v>
      </c>
      <c r="U109">
        <v>0.7599694666944572</v>
      </c>
      <c r="V109">
        <v>0.80690401583342819</v>
      </c>
      <c r="X109" cm="1">
        <f t="array" ref="X109:AC109">X108:AC108-$AE$108:$AJ$108</f>
        <v>0.77048741502057183</v>
      </c>
      <c r="Y109">
        <v>0.5344566680655074</v>
      </c>
      <c r="Z109">
        <v>0.43017493832472375</v>
      </c>
      <c r="AA109">
        <v>0.34521877760337638</v>
      </c>
      <c r="AB109">
        <v>0.29249242373134621</v>
      </c>
      <c r="AC109">
        <v>0.21014336561661295</v>
      </c>
      <c r="AE109" cm="1">
        <f t="array" ref="AE109:AJ109">AE108:AJ108-$AE$108:$AJ$108</f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3:36" x14ac:dyDescent="0.25">
      <c r="I110" s="5"/>
    </row>
    <row r="111" spans="3:36" x14ac:dyDescent="0.25">
      <c r="E111" t="str">
        <f>_xlfn.TEXTJOIN("",TRUE,F111:G111)</f>
        <v>T1Weight</v>
      </c>
      <c r="F111" s="7" t="s">
        <v>143</v>
      </c>
      <c r="G111" s="11" t="s">
        <v>168</v>
      </c>
      <c r="I111" t="s">
        <v>39</v>
      </c>
      <c r="J111" cm="1">
        <f t="array" ref="J111:O113">J91:O93*J95:O97*J99:O101</f>
        <v>4.0309066160205916E-2</v>
      </c>
      <c r="K111">
        <v>1.1093131625702045E-2</v>
      </c>
      <c r="L111">
        <v>3.8420031092371303E-3</v>
      </c>
      <c r="M111">
        <v>7.66696350895444E-3</v>
      </c>
      <c r="N111">
        <v>8.5831678415283757E-3</v>
      </c>
      <c r="O111">
        <v>1.0105252455272256E-2</v>
      </c>
      <c r="Q111" cm="1">
        <f t="array" ref="Q111:V113">Q91:V93*Q95:V97*Q99:V101</f>
        <v>0.1627727599039987</v>
      </c>
      <c r="R111">
        <v>3.3409369245558901E-2</v>
      </c>
      <c r="S111">
        <v>8.3900572417244471E-3</v>
      </c>
      <c r="T111">
        <v>1.2123207450231849E-2</v>
      </c>
      <c r="U111">
        <v>9.8218172868532704E-3</v>
      </c>
      <c r="V111">
        <v>8.3553974821954473E-3</v>
      </c>
      <c r="X111" cm="1">
        <f t="array" ref="X111:AC113">X91:AC93*X95:AC97*X99:AC101</f>
        <v>0.21911732643402176</v>
      </c>
      <c r="Y111">
        <v>6.8439277976806323E-2</v>
      </c>
      <c r="Z111">
        <v>2.6068763691503311E-2</v>
      </c>
      <c r="AA111">
        <v>5.6784795649167462E-2</v>
      </c>
      <c r="AB111">
        <v>6.949614130097552E-2</v>
      </c>
      <c r="AC111">
        <v>8.8973330235031761E-2</v>
      </c>
      <c r="AE111" cm="1">
        <f t="array" ref="AE111:AJ113">AE91:AJ93*AE95:AJ97*AE99:AJ101</f>
        <v>0.35780116775200488</v>
      </c>
      <c r="AF111">
        <v>9.1505518497469074E-2</v>
      </c>
      <c r="AG111">
        <v>2.7353044722696045E-2</v>
      </c>
      <c r="AH111">
        <v>4.6631258977734687E-2</v>
      </c>
      <c r="AI111">
        <v>4.4496446099003474E-2</v>
      </c>
      <c r="AJ111">
        <v>4.4496446099003474E-2</v>
      </c>
    </row>
    <row r="112" spans="3:36" x14ac:dyDescent="0.25">
      <c r="E112" t="str">
        <f t="shared" ref="E112:E113" si="62">_xlfn.TEXTJOIN("",TRUE,F112:G112)</f>
        <v>T2Weight</v>
      </c>
      <c r="F112" s="7" t="s">
        <v>157</v>
      </c>
      <c r="G112" s="11" t="s">
        <v>168</v>
      </c>
      <c r="I112" t="s">
        <v>40</v>
      </c>
      <c r="J112">
        <v>-2.3043699702022757E-2</v>
      </c>
      <c r="K112">
        <v>-0.19969947062191312</v>
      </c>
      <c r="L112">
        <v>-0.2394931151012942</v>
      </c>
      <c r="M112">
        <v>-0.36816086659123126</v>
      </c>
      <c r="N112">
        <v>-0.4184076356107112</v>
      </c>
      <c r="O112">
        <v>-0.43783613557923712</v>
      </c>
      <c r="Q112">
        <v>2.9400695926903603E-2</v>
      </c>
      <c r="R112">
        <v>-0.13939837460647447</v>
      </c>
      <c r="S112">
        <v>-0.17301661832986051</v>
      </c>
      <c r="T112">
        <v>-0.30436252856941937</v>
      </c>
      <c r="U112">
        <v>-0.36475693717694019</v>
      </c>
      <c r="V112">
        <v>-0.38119965940486106</v>
      </c>
      <c r="X112">
        <v>3.5317698140682134E-2</v>
      </c>
      <c r="Y112">
        <v>-9.1825027915339169E-2</v>
      </c>
      <c r="Z112">
        <v>-8.159875578191321E-2</v>
      </c>
      <c r="AA112">
        <v>-0.1729655198869606</v>
      </c>
      <c r="AB112">
        <v>-0.21697513731588636</v>
      </c>
      <c r="AC112">
        <v>-0.19412063041658856</v>
      </c>
      <c r="AE112">
        <v>0.20092134614013665</v>
      </c>
      <c r="AF112">
        <v>0.10398999066782862</v>
      </c>
      <c r="AG112">
        <v>9.495524957558972E-2</v>
      </c>
      <c r="AH112">
        <v>-2.1969299440401751E-2</v>
      </c>
      <c r="AI112">
        <v>-0.10237743715781705</v>
      </c>
      <c r="AJ112">
        <v>-0.10237743715781705</v>
      </c>
    </row>
    <row r="113" spans="5:36" x14ac:dyDescent="0.25">
      <c r="E113" t="str">
        <f t="shared" si="62"/>
        <v>T3Weight</v>
      </c>
      <c r="F113" s="7" t="s">
        <v>159</v>
      </c>
      <c r="G113" s="11" t="s">
        <v>168</v>
      </c>
      <c r="I113" t="s">
        <v>41</v>
      </c>
      <c r="J113">
        <v>0.29783338701237971</v>
      </c>
      <c r="K113">
        <v>0.34780600336263678</v>
      </c>
      <c r="L113">
        <v>0.33318317224165611</v>
      </c>
      <c r="M113">
        <v>0.33753527687674306</v>
      </c>
      <c r="N113">
        <v>0.32622209164420601</v>
      </c>
      <c r="O113">
        <v>0.30526482466692351</v>
      </c>
      <c r="Q113">
        <v>0.32266537502651038</v>
      </c>
      <c r="R113">
        <v>0.38370157599647375</v>
      </c>
      <c r="S113">
        <v>0.37091838760665652</v>
      </c>
      <c r="T113">
        <v>0.38205601407403172</v>
      </c>
      <c r="U113">
        <v>0.38372076126947335</v>
      </c>
      <c r="V113">
        <v>0.36617430224270558</v>
      </c>
      <c r="X113">
        <v>0.32376457541395809</v>
      </c>
      <c r="Y113">
        <v>0.41114877238715031</v>
      </c>
      <c r="Z113">
        <v>0.42225668796489435</v>
      </c>
      <c r="AA113">
        <v>0.47167512834252956</v>
      </c>
      <c r="AB113">
        <v>0.53802787146880204</v>
      </c>
      <c r="AC113">
        <v>0.56111856934589821</v>
      </c>
      <c r="AE113">
        <v>0.4110258492704138</v>
      </c>
      <c r="AF113">
        <v>0.52985704012524382</v>
      </c>
      <c r="AG113">
        <v>0.52292687942728999</v>
      </c>
      <c r="AH113">
        <v>0.57814354825444558</v>
      </c>
      <c r="AI113">
        <v>0.6627527804865011</v>
      </c>
      <c r="AJ113">
        <v>0.6627527804865011</v>
      </c>
    </row>
    <row r="115" spans="5:36" x14ac:dyDescent="0.25">
      <c r="I115" t="s">
        <v>42</v>
      </c>
      <c r="J115">
        <f t="shared" ref="J115:O115" si="63">SUMPRODUCT($C$26:$C$46,J26:J46)</f>
        <v>0.32035036553523755</v>
      </c>
      <c r="K115">
        <f t="shared" si="63"/>
        <v>0.92609463454799057</v>
      </c>
      <c r="L115">
        <f t="shared" si="63"/>
        <v>0.98697154373554552</v>
      </c>
      <c r="M115">
        <f t="shared" si="63"/>
        <v>1.2043249582214814</v>
      </c>
      <c r="N115">
        <f t="shared" si="63"/>
        <v>1.0768986417732167</v>
      </c>
      <c r="O115">
        <f t="shared" si="63"/>
        <v>1.0109029938601233</v>
      </c>
      <c r="Q115">
        <f t="shared" ref="Q115:V115" si="64">SUMPRODUCT($C$26:$C$46,Q26:Q46)</f>
        <v>4.6841755453569167E-2</v>
      </c>
      <c r="R115">
        <f t="shared" si="64"/>
        <v>0.66446216835789418</v>
      </c>
      <c r="S115">
        <f t="shared" si="64"/>
        <v>0.73721522143702201</v>
      </c>
      <c r="T115">
        <f t="shared" si="64"/>
        <v>0.96644477981453125</v>
      </c>
      <c r="U115">
        <f t="shared" si="64"/>
        <v>0.85089460725783983</v>
      </c>
      <c r="V115">
        <f t="shared" si="64"/>
        <v>0.79677510323631884</v>
      </c>
      <c r="X115">
        <f t="shared" ref="X115:AC115" si="65">SUMPRODUCT($C$26:$C$46,X26:X46)</f>
        <v>4.1882505210981247E-2</v>
      </c>
      <c r="Y115">
        <f t="shared" si="65"/>
        <v>0.57360993934859117</v>
      </c>
      <c r="Z115">
        <f t="shared" si="65"/>
        <v>0.56047001366100346</v>
      </c>
      <c r="AA115">
        <f t="shared" si="65"/>
        <v>0.70380659327179673</v>
      </c>
      <c r="AB115">
        <f t="shared" si="65"/>
        <v>0.50236344194838933</v>
      </c>
      <c r="AC115">
        <f t="shared" si="65"/>
        <v>0.36235095916015281</v>
      </c>
      <c r="AE115">
        <f t="shared" ref="AE115:AJ115" si="66">SUMPRODUCT($C$26:$C$46,AE26:AE46)</f>
        <v>-0.63722003828453333</v>
      </c>
      <c r="AF115">
        <f t="shared" si="66"/>
        <v>3.4519878641313007E-2</v>
      </c>
      <c r="AG115">
        <f t="shared" si="66"/>
        <v>0.16139243574196183</v>
      </c>
      <c r="AH115">
        <f t="shared" si="66"/>
        <v>0.44474149814099162</v>
      </c>
      <c r="AI115">
        <f t="shared" si="66"/>
        <v>0.38331082960582075</v>
      </c>
      <c r="AJ115">
        <f t="shared" si="66"/>
        <v>0.38331082960582075</v>
      </c>
    </row>
    <row r="116" spans="5:36" x14ac:dyDescent="0.25">
      <c r="I116" t="s">
        <v>26</v>
      </c>
      <c r="J116">
        <f t="shared" ref="J116:O116" si="67">SUMPRODUCT($C$47:$C$67,J47:J67)</f>
        <v>0.13808323707767256</v>
      </c>
      <c r="K116">
        <f t="shared" si="67"/>
        <v>0.95282570446362458</v>
      </c>
      <c r="L116">
        <f t="shared" si="67"/>
        <v>1.0721613693225551</v>
      </c>
      <c r="M116">
        <f t="shared" si="67"/>
        <v>1.6260461176651653</v>
      </c>
      <c r="N116">
        <f t="shared" si="67"/>
        <v>2.0535320630271459</v>
      </c>
      <c r="O116">
        <f t="shared" si="67"/>
        <v>2.1175142868735382</v>
      </c>
      <c r="Q116">
        <f t="shared" ref="Q116:V116" si="68">SUMPRODUCT($C$47:$C$67,Q47:Q67)</f>
        <v>-0.17121613364372523</v>
      </c>
      <c r="R116">
        <f t="shared" si="68"/>
        <v>0.63047164183908544</v>
      </c>
      <c r="S116">
        <f t="shared" si="68"/>
        <v>0.73675261479487419</v>
      </c>
      <c r="T116">
        <f t="shared" si="68"/>
        <v>1.2775826712343434</v>
      </c>
      <c r="U116">
        <f t="shared" si="68"/>
        <v>1.6920139246931818</v>
      </c>
      <c r="V116">
        <f t="shared" si="68"/>
        <v>1.7429414566364327</v>
      </c>
      <c r="X116">
        <f t="shared" ref="X116:AC116" si="69">SUMPRODUCT($C$47:$C$67,X47:X67)</f>
        <v>-0.20833842691260163</v>
      </c>
      <c r="Y116">
        <f t="shared" si="69"/>
        <v>0.41669517849788829</v>
      </c>
      <c r="Z116">
        <f t="shared" si="69"/>
        <v>0.34632198138135539</v>
      </c>
      <c r="AA116">
        <f t="shared" si="69"/>
        <v>0.71049786774850388</v>
      </c>
      <c r="AB116">
        <f t="shared" si="69"/>
        <v>0.94827495113502103</v>
      </c>
      <c r="AC116">
        <f t="shared" si="69"/>
        <v>0.82254831300595033</v>
      </c>
      <c r="AE116">
        <f t="shared" ref="AE116:AJ116" si="70">SUMPRODUCT($C$47:$C$67,AE47:AE67)</f>
        <v>-1.2053093324890747</v>
      </c>
      <c r="AF116">
        <f t="shared" si="70"/>
        <v>-0.45454908894951451</v>
      </c>
      <c r="AG116">
        <f t="shared" si="70"/>
        <v>-0.39919564793697626</v>
      </c>
      <c r="AH116">
        <f t="shared" si="70"/>
        <v>9.0706876559242033E-2</v>
      </c>
      <c r="AI116">
        <f t="shared" si="70"/>
        <v>0.45421059807482989</v>
      </c>
      <c r="AJ116">
        <f t="shared" si="70"/>
        <v>0.45421059807482989</v>
      </c>
    </row>
    <row r="118" spans="5:36" x14ac:dyDescent="0.25">
      <c r="I118" t="s">
        <v>43</v>
      </c>
      <c r="J118">
        <f t="shared" ref="J118:O120" si="71">EXP(J115)/(1+EXP(J$115)+EXP(J$116))</f>
        <v>0.39073590862374563</v>
      </c>
      <c r="K118">
        <f t="shared" si="71"/>
        <v>0.41267929920434032</v>
      </c>
      <c r="L118">
        <f t="shared" si="71"/>
        <v>0.40623531344064895</v>
      </c>
      <c r="M118">
        <f t="shared" si="71"/>
        <v>0.35404775621025014</v>
      </c>
      <c r="N118">
        <f t="shared" si="71"/>
        <v>0.25024075723180034</v>
      </c>
      <c r="O118">
        <f t="shared" si="71"/>
        <v>0.22789511473173416</v>
      </c>
      <c r="Q118">
        <f t="shared" ref="Q118:V120" si="72">EXP(Q115)/(1+EXP(Q$115)+EXP(Q$116))</f>
        <v>0.36253987410264932</v>
      </c>
      <c r="R118">
        <f t="shared" si="72"/>
        <v>0.40304202316445575</v>
      </c>
      <c r="S118">
        <f t="shared" si="72"/>
        <v>0.40355419474055715</v>
      </c>
      <c r="T118">
        <f t="shared" si="72"/>
        <v>0.36424424261079646</v>
      </c>
      <c r="U118">
        <f t="shared" si="72"/>
        <v>0.26695184863897953</v>
      </c>
      <c r="V118">
        <f t="shared" si="72"/>
        <v>0.24834871193323407</v>
      </c>
      <c r="X118">
        <f t="shared" ref="X118:AC120" si="73">EXP(X115)/(1+EXP(X$115)+EXP(X$116))</f>
        <v>0.36528196695227028</v>
      </c>
      <c r="Y118">
        <f t="shared" si="73"/>
        <v>0.41351969173871556</v>
      </c>
      <c r="Z118">
        <f t="shared" si="73"/>
        <v>0.42049146913882618</v>
      </c>
      <c r="AA118">
        <f t="shared" si="73"/>
        <v>0.39977415801207411</v>
      </c>
      <c r="AB118">
        <f t="shared" si="73"/>
        <v>0.3157550300137707</v>
      </c>
      <c r="AC118">
        <f t="shared" si="73"/>
        <v>0.30483857934247877</v>
      </c>
      <c r="AE118">
        <f t="shared" ref="AE118:AJ120" si="74">EXP(AE115)/(1+EXP(AE$115)+EXP(AE$116))</f>
        <v>0.28919929580416198</v>
      </c>
      <c r="AF118">
        <f t="shared" si="74"/>
        <v>0.38770717484159334</v>
      </c>
      <c r="AG118">
        <f t="shared" si="74"/>
        <v>0.41291067578643359</v>
      </c>
      <c r="AH118">
        <f t="shared" si="74"/>
        <v>0.42683227859853956</v>
      </c>
      <c r="AI118">
        <f t="shared" si="74"/>
        <v>0.36296657426898432</v>
      </c>
      <c r="AJ118">
        <f t="shared" si="74"/>
        <v>0.36296657426898432</v>
      </c>
    </row>
    <row r="119" spans="5:36" x14ac:dyDescent="0.25">
      <c r="I119" t="s">
        <v>44</v>
      </c>
      <c r="J119">
        <f t="shared" si="71"/>
        <v>0.32563098025666398</v>
      </c>
      <c r="K119">
        <f t="shared" si="71"/>
        <v>0.42385942099084412</v>
      </c>
      <c r="L119">
        <f t="shared" si="71"/>
        <v>0.44235928197935043</v>
      </c>
      <c r="M119">
        <f t="shared" si="71"/>
        <v>0.53977531413047031</v>
      </c>
      <c r="N119">
        <f t="shared" si="71"/>
        <v>0.66451463675397915</v>
      </c>
      <c r="O119">
        <f t="shared" si="71"/>
        <v>0.68917607715605855</v>
      </c>
      <c r="Q119">
        <f t="shared" si="72"/>
        <v>0.29151066060708047</v>
      </c>
      <c r="R119">
        <f t="shared" si="72"/>
        <v>0.38957262535367032</v>
      </c>
      <c r="S119">
        <f t="shared" si="72"/>
        <v>0.40336755106423428</v>
      </c>
      <c r="T119">
        <f t="shared" si="72"/>
        <v>0.4971851690366671</v>
      </c>
      <c r="U119">
        <f t="shared" si="72"/>
        <v>0.61905097347495353</v>
      </c>
      <c r="V119">
        <f t="shared" si="72"/>
        <v>0.63970057060368679</v>
      </c>
      <c r="X119">
        <f t="shared" si="73"/>
        <v>0.28441903766041293</v>
      </c>
      <c r="Y119">
        <f t="shared" si="73"/>
        <v>0.35346708687984968</v>
      </c>
      <c r="Z119">
        <f t="shared" si="73"/>
        <v>0.33943285778604654</v>
      </c>
      <c r="AA119">
        <f t="shared" si="73"/>
        <v>0.40245812620181354</v>
      </c>
      <c r="AB119">
        <f t="shared" si="73"/>
        <v>0.49318196369429268</v>
      </c>
      <c r="AC119">
        <f t="shared" si="73"/>
        <v>0.48298217214311434</v>
      </c>
      <c r="AE119">
        <f t="shared" si="74"/>
        <v>0.16386235245409017</v>
      </c>
      <c r="AF119">
        <f t="shared" si="74"/>
        <v>0.23774088998872833</v>
      </c>
      <c r="AG119">
        <f t="shared" si="74"/>
        <v>0.23571965691719338</v>
      </c>
      <c r="AH119">
        <f t="shared" si="74"/>
        <v>0.29957251975355187</v>
      </c>
      <c r="AI119">
        <f t="shared" si="74"/>
        <v>0.38963504407866634</v>
      </c>
      <c r="AJ119">
        <f t="shared" si="74"/>
        <v>0.38963504407866634</v>
      </c>
    </row>
    <row r="120" spans="5:36" x14ac:dyDescent="0.25">
      <c r="I120" t="s">
        <v>45</v>
      </c>
      <c r="J120">
        <f t="shared" si="71"/>
        <v>0.28363311111959044</v>
      </c>
      <c r="K120">
        <f t="shared" si="71"/>
        <v>0.16346127980481551</v>
      </c>
      <c r="L120">
        <f t="shared" si="71"/>
        <v>0.15140540458000062</v>
      </c>
      <c r="M120">
        <f t="shared" si="71"/>
        <v>0.10617692965927944</v>
      </c>
      <c r="N120">
        <f t="shared" si="71"/>
        <v>8.5244606014220597E-2</v>
      </c>
      <c r="O120">
        <f t="shared" si="71"/>
        <v>8.2928808112207278E-2</v>
      </c>
      <c r="Q120">
        <f t="shared" si="72"/>
        <v>0.34594946529027026</v>
      </c>
      <c r="R120">
        <f t="shared" si="72"/>
        <v>0.20738535148187401</v>
      </c>
      <c r="S120">
        <f t="shared" si="72"/>
        <v>0.19307825419520855</v>
      </c>
      <c r="T120">
        <f t="shared" si="72"/>
        <v>0.13857058835253644</v>
      </c>
      <c r="U120">
        <f t="shared" si="72"/>
        <v>0.11399717788606686</v>
      </c>
      <c r="V120">
        <f t="shared" si="72"/>
        <v>0.11195071746307918</v>
      </c>
      <c r="X120">
        <f t="shared" si="73"/>
        <v>0.35029899538731685</v>
      </c>
      <c r="Y120">
        <f t="shared" si="73"/>
        <v>0.23301322138143468</v>
      </c>
      <c r="Z120">
        <f t="shared" si="73"/>
        <v>0.2400756730751272</v>
      </c>
      <c r="AA120">
        <f t="shared" si="73"/>
        <v>0.19776771578611227</v>
      </c>
      <c r="AB120">
        <f t="shared" si="73"/>
        <v>0.19106300629193673</v>
      </c>
      <c r="AC120">
        <f t="shared" si="73"/>
        <v>0.21217924851440695</v>
      </c>
      <c r="AE120">
        <f t="shared" si="74"/>
        <v>0.54693835174174776</v>
      </c>
      <c r="AF120">
        <f t="shared" si="74"/>
        <v>0.37455193516967838</v>
      </c>
      <c r="AG120">
        <f t="shared" si="74"/>
        <v>0.35136966729637309</v>
      </c>
      <c r="AH120">
        <f t="shared" si="74"/>
        <v>0.27359520164790851</v>
      </c>
      <c r="AI120">
        <f t="shared" si="74"/>
        <v>0.2473983816523492</v>
      </c>
      <c r="AJ120">
        <f t="shared" si="74"/>
        <v>0.2473983816523492</v>
      </c>
    </row>
    <row r="132" spans="8:14" x14ac:dyDescent="0.25">
      <c r="H132" s="5" t="s">
        <v>50</v>
      </c>
      <c r="I132" s="6" t="s">
        <v>125</v>
      </c>
      <c r="J132" s="7" t="s">
        <v>126</v>
      </c>
      <c r="K132" s="6" t="s">
        <v>127</v>
      </c>
      <c r="L132" s="7" t="s">
        <v>128</v>
      </c>
      <c r="M132" s="6" t="s">
        <v>129</v>
      </c>
      <c r="N132" s="7" t="s">
        <v>130</v>
      </c>
    </row>
    <row r="133" spans="8:14" x14ac:dyDescent="0.25">
      <c r="H133" s="7" t="s">
        <v>131</v>
      </c>
      <c r="I133" s="6" cm="1">
        <f t="array" ref="I133">_xlfn.ANCHORARRAY(J108)</f>
        <v>14.035488273367625</v>
      </c>
      <c r="J133" s="6" cm="1">
        <f t="array" ref="J133">_xlfn.ANCHORARRAY(K108)</f>
        <v>14.508602309622702</v>
      </c>
      <c r="K133" s="6" cm="1">
        <f t="array" ref="K133">_xlfn.ANCHORARRAY(L108)</f>
        <v>14.57773985454757</v>
      </c>
      <c r="L133" s="6" cm="1">
        <f t="array" ref="L133">_xlfn.ANCHORARRAY(M108)</f>
        <v>14.858879887470037</v>
      </c>
      <c r="M133" s="6" cm="1">
        <f t="array" ref="M133">_xlfn.ANCHORARRAY(N108)</f>
        <v>15.149222143283314</v>
      </c>
      <c r="N133" s="6" cm="1">
        <f t="array" ref="N133">_xlfn.ANCHORARRAY(O108)</f>
        <v>15.201480063286695</v>
      </c>
    </row>
    <row r="134" spans="8:14" x14ac:dyDescent="0.25">
      <c r="H134" s="7" t="s">
        <v>132</v>
      </c>
      <c r="I134" s="6" cm="1">
        <f t="array" ref="I134">_xlfn.ANCHORARRAY(Q108)</f>
        <v>13.698691460085275</v>
      </c>
      <c r="J134" s="6" cm="1">
        <f t="array" ref="J134">_xlfn.ANCHORARRAY(R108)</f>
        <v>14.328137127857385</v>
      </c>
      <c r="K134" s="6" cm="1">
        <f t="array" ref="K134">_xlfn.ANCHORARRAY(S108)</f>
        <v>14.411599966673617</v>
      </c>
      <c r="L134" s="6" cm="1">
        <f t="array" ref="L134">_xlfn.ANCHORARRAY(T108)</f>
        <v>14.704235974085762</v>
      </c>
      <c r="M134" s="6" cm="1">
        <f t="array" ref="M134">_xlfn.ANCHORARRAY(U108)</f>
        <v>14.999565229786072</v>
      </c>
      <c r="N134" s="6" cm="1">
        <f t="array" ref="N134">_xlfn.ANCHORARRAY(V108)</f>
        <v>15.046499778925043</v>
      </c>
    </row>
    <row r="135" spans="8:14" x14ac:dyDescent="0.25">
      <c r="H135" s="7" t="s">
        <v>133</v>
      </c>
      <c r="I135" s="6" cm="1">
        <f t="array" ref="I135">_xlfn.ANCHORARRAY(X108)</f>
        <v>13.609761979874172</v>
      </c>
      <c r="J135" s="6" cm="1">
        <f t="array" ref="J135">_xlfn.ANCHORARRAY(Y108)</f>
        <v>14.167485347389865</v>
      </c>
      <c r="K135" s="6" cm="1">
        <f t="array" ref="K135">_xlfn.ANCHORARRAY(Z108)</f>
        <v>14.171363150905171</v>
      </c>
      <c r="L135" s="6" cm="1">
        <f t="array" ref="L135">_xlfn.ANCHORARRAY(AA108)</f>
        <v>14.350103598339814</v>
      </c>
      <c r="M135" s="6" cm="1">
        <f t="array" ref="M135">_xlfn.ANCHORARRAY(AB108)</f>
        <v>14.532088186822961</v>
      </c>
      <c r="N135" s="6" cm="1">
        <f t="array" ref="N135">_xlfn.ANCHORARRAY(AC108)</f>
        <v>14.449739128708227</v>
      </c>
    </row>
    <row r="136" spans="8:14" x14ac:dyDescent="0.25">
      <c r="H136" s="7" t="s">
        <v>134</v>
      </c>
      <c r="I136" s="6" cm="1">
        <f t="array" ref="I136">_xlfn.ANCHORARRAY(AE108)</f>
        <v>12.8392745648536</v>
      </c>
      <c r="J136" s="6" cm="1">
        <f t="array" ref="J136">_xlfn.ANCHORARRAY(AF108)</f>
        <v>13.633028679324358</v>
      </c>
      <c r="K136" s="6" cm="1">
        <f t="array" ref="K136">_xlfn.ANCHORARRAY(AG108)</f>
        <v>13.741188212580447</v>
      </c>
      <c r="L136" s="6" cm="1">
        <f t="array" ref="L136">_xlfn.ANCHORARRAY(AH108)</f>
        <v>14.004884820736438</v>
      </c>
      <c r="M136" s="6" cm="1">
        <f t="array" ref="M136">_xlfn.ANCHORARRAY(AI108)</f>
        <v>14.239595763091614</v>
      </c>
      <c r="N136" s="6" cm="1">
        <f t="array" ref="N136">_xlfn.ANCHORARRAY(AJ108)</f>
        <v>14.239595763091614</v>
      </c>
    </row>
    <row r="137" spans="8:14" x14ac:dyDescent="0.25">
      <c r="H137" s="7" t="s">
        <v>135</v>
      </c>
      <c r="I137" s="6">
        <v>16</v>
      </c>
      <c r="J137">
        <v>16</v>
      </c>
      <c r="K137">
        <v>16</v>
      </c>
      <c r="L137">
        <v>16</v>
      </c>
      <c r="M137">
        <v>16</v>
      </c>
      <c r="N137">
        <v>16</v>
      </c>
    </row>
    <row r="138" spans="8:14" x14ac:dyDescent="0.25">
      <c r="H138" s="7" t="s">
        <v>136</v>
      </c>
      <c r="I138" s="6">
        <v>14</v>
      </c>
      <c r="J138">
        <v>14</v>
      </c>
      <c r="K138">
        <v>14</v>
      </c>
      <c r="L138">
        <v>14</v>
      </c>
      <c r="M138">
        <v>14</v>
      </c>
      <c r="N138">
        <v>14</v>
      </c>
    </row>
    <row r="139" spans="8:14" x14ac:dyDescent="0.25">
      <c r="H139" s="7" t="s">
        <v>137</v>
      </c>
      <c r="I139" s="6">
        <v>12</v>
      </c>
      <c r="J139">
        <v>12</v>
      </c>
      <c r="K139">
        <v>12</v>
      </c>
      <c r="L139">
        <v>12</v>
      </c>
      <c r="M139">
        <v>12</v>
      </c>
      <c r="N139">
        <v>12</v>
      </c>
    </row>
    <row r="140" spans="8:14" x14ac:dyDescent="0.25">
      <c r="H140" s="7" t="s">
        <v>138</v>
      </c>
      <c r="I140" s="6">
        <v>9</v>
      </c>
      <c r="J140">
        <v>9</v>
      </c>
      <c r="K140">
        <v>9</v>
      </c>
      <c r="L140">
        <v>9</v>
      </c>
      <c r="M140">
        <v>9</v>
      </c>
      <c r="N140">
        <v>9</v>
      </c>
    </row>
    <row r="141" spans="8:14" x14ac:dyDescent="0.25">
      <c r="H141" s="7"/>
      <c r="I141" s="6"/>
    </row>
    <row r="142" spans="8:14" x14ac:dyDescent="0.25">
      <c r="H142" s="7"/>
      <c r="I142" s="6"/>
    </row>
    <row r="143" spans="8:14" x14ac:dyDescent="0.25">
      <c r="H143" s="7"/>
      <c r="I143" s="6"/>
    </row>
  </sheetData>
  <phoneticPr fontId="2"/>
  <conditionalFormatting sqref="F5:F67">
    <cfRule type="cellIs" dxfId="0" priority="1" operator="lessThan">
      <formula>0.05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8FEF-0EAF-4197-8ED9-63179823755B}">
  <dimension ref="A1:Y76"/>
  <sheetViews>
    <sheetView topLeftCell="C1" workbookViewId="0">
      <selection activeCell="Y7" sqref="E7:Y32"/>
    </sheetView>
  </sheetViews>
  <sheetFormatPr defaultRowHeight="15" x14ac:dyDescent="0.25"/>
  <cols>
    <col min="11" max="11" width="6.140625" customWidth="1"/>
    <col min="16" max="16" width="5.140625" customWidth="1"/>
    <col min="21" max="21" width="4.7109375" customWidth="1"/>
  </cols>
  <sheetData>
    <row r="1" spans="1:25" x14ac:dyDescent="0.25">
      <c r="G1" t="str">
        <f t="shared" ref="G1:Y1" si="0">_xlfn.TEXTJOIN("",TRUE,G3:G4)</f>
        <v>I+II1950s</v>
      </c>
      <c r="H1" t="str">
        <f t="shared" si="0"/>
        <v>IIIab1950s</v>
      </c>
      <c r="I1" t="str">
        <f t="shared" si="0"/>
        <v>IVab1950s</v>
      </c>
      <c r="J1" t="str">
        <f t="shared" si="0"/>
        <v>V+VI+VIIab1950s</v>
      </c>
      <c r="K1" t="str">
        <f t="shared" si="0"/>
        <v/>
      </c>
      <c r="L1" t="str">
        <f t="shared" si="0"/>
        <v>I+II1960s</v>
      </c>
      <c r="M1" t="str">
        <f t="shared" si="0"/>
        <v>IIIab1960s</v>
      </c>
      <c r="N1" t="str">
        <f t="shared" si="0"/>
        <v>IVab1960s</v>
      </c>
      <c r="O1" t="str">
        <f t="shared" si="0"/>
        <v>V+VI+VIIab1960s</v>
      </c>
      <c r="P1" t="str">
        <f t="shared" si="0"/>
        <v/>
      </c>
      <c r="Q1" t="str">
        <f t="shared" si="0"/>
        <v>I+II1970s</v>
      </c>
      <c r="R1" t="str">
        <f t="shared" si="0"/>
        <v>IIIab1970s</v>
      </c>
      <c r="S1" t="str">
        <f t="shared" si="0"/>
        <v>IVab1970s</v>
      </c>
      <c r="T1" t="str">
        <f t="shared" si="0"/>
        <v>V+VI+VIIab1970s</v>
      </c>
      <c r="U1" t="str">
        <f t="shared" si="0"/>
        <v/>
      </c>
      <c r="V1" t="str">
        <f t="shared" si="0"/>
        <v>I+II1980s</v>
      </c>
      <c r="W1" t="str">
        <f t="shared" si="0"/>
        <v>IIIab1980s</v>
      </c>
      <c r="X1" t="str">
        <f t="shared" si="0"/>
        <v>IVab1980s</v>
      </c>
      <c r="Y1" t="str">
        <f t="shared" si="0"/>
        <v>V+VI+VIIab1980s</v>
      </c>
    </row>
    <row r="3" spans="1:25" x14ac:dyDescent="0.25">
      <c r="G3" s="7" t="s">
        <v>131</v>
      </c>
      <c r="H3" s="7" t="s">
        <v>132</v>
      </c>
      <c r="I3" s="7" t="s">
        <v>133</v>
      </c>
      <c r="J3" s="7" t="s">
        <v>134</v>
      </c>
      <c r="L3" s="7" t="s">
        <v>131</v>
      </c>
      <c r="M3" s="7" t="s">
        <v>132</v>
      </c>
      <c r="N3" s="7" t="s">
        <v>133</v>
      </c>
      <c r="O3" s="7" t="s">
        <v>134</v>
      </c>
      <c r="Q3" s="7" t="s">
        <v>131</v>
      </c>
      <c r="R3" s="7" t="s">
        <v>132</v>
      </c>
      <c r="S3" s="7" t="s">
        <v>133</v>
      </c>
      <c r="T3" s="7" t="s">
        <v>134</v>
      </c>
      <c r="V3" s="7" t="s">
        <v>131</v>
      </c>
      <c r="W3" s="7" t="s">
        <v>132</v>
      </c>
      <c r="X3" s="7" t="s">
        <v>133</v>
      </c>
      <c r="Y3" s="7" t="s">
        <v>134</v>
      </c>
    </row>
    <row r="4" spans="1:25" x14ac:dyDescent="0.25">
      <c r="G4" s="7" t="s">
        <v>126</v>
      </c>
      <c r="H4" s="7" t="s">
        <v>126</v>
      </c>
      <c r="I4" s="7" t="s">
        <v>126</v>
      </c>
      <c r="J4" s="7" t="s">
        <v>126</v>
      </c>
      <c r="L4" s="7" t="s">
        <v>139</v>
      </c>
      <c r="M4" s="7" t="s">
        <v>139</v>
      </c>
      <c r="N4" s="7" t="s">
        <v>139</v>
      </c>
      <c r="O4" s="7" t="s">
        <v>139</v>
      </c>
      <c r="Q4" s="7" t="s">
        <v>140</v>
      </c>
      <c r="R4" s="7" t="s">
        <v>140</v>
      </c>
      <c r="S4" s="7" t="s">
        <v>140</v>
      </c>
      <c r="T4" s="7" t="s">
        <v>140</v>
      </c>
      <c r="V4" s="7" t="s">
        <v>141</v>
      </c>
      <c r="W4" s="7" t="s">
        <v>141</v>
      </c>
      <c r="X4" s="7" t="s">
        <v>141</v>
      </c>
      <c r="Y4" s="7" t="s">
        <v>141</v>
      </c>
    </row>
    <row r="5" spans="1:25" x14ac:dyDescent="0.25">
      <c r="G5" s="7"/>
      <c r="H5" s="7"/>
      <c r="I5" s="7"/>
      <c r="J5" s="7"/>
      <c r="L5" s="7"/>
      <c r="M5" s="7"/>
      <c r="N5" s="7"/>
      <c r="O5" s="7"/>
      <c r="Q5" s="7"/>
      <c r="R5" s="7"/>
      <c r="S5" s="7"/>
      <c r="T5" s="7"/>
      <c r="V5" s="7"/>
      <c r="W5" s="7"/>
      <c r="X5" s="7"/>
      <c r="Y5" s="7"/>
    </row>
    <row r="6" spans="1:25" x14ac:dyDescent="0.25">
      <c r="G6" s="7"/>
      <c r="H6" s="7"/>
      <c r="I6" s="7"/>
      <c r="J6" s="7"/>
      <c r="L6" s="7"/>
      <c r="M6" s="7"/>
      <c r="N6" s="7"/>
      <c r="O6" s="7"/>
      <c r="Q6" s="7"/>
      <c r="R6" s="7"/>
      <c r="S6" s="7"/>
      <c r="T6" s="7"/>
      <c r="V6" s="7"/>
      <c r="W6" s="7"/>
      <c r="X6" s="7"/>
      <c r="Y6" s="7"/>
    </row>
    <row r="7" spans="1:25" x14ac:dyDescent="0.25">
      <c r="E7" s="8"/>
      <c r="F7" s="8"/>
      <c r="G7" s="9"/>
      <c r="H7" s="9"/>
      <c r="I7" s="9"/>
      <c r="J7" s="9"/>
      <c r="K7" s="8"/>
      <c r="L7" s="9"/>
      <c r="M7" s="9"/>
      <c r="N7" s="9"/>
      <c r="O7" s="9"/>
      <c r="P7" s="8"/>
      <c r="Q7" s="9"/>
      <c r="R7" s="9"/>
      <c r="S7" s="9"/>
      <c r="T7" s="9"/>
      <c r="U7" s="8"/>
      <c r="V7" s="9"/>
      <c r="W7" s="9"/>
      <c r="X7" s="9"/>
      <c r="Y7" s="9"/>
    </row>
    <row r="8" spans="1:25" x14ac:dyDescent="0.25">
      <c r="E8" s="7" t="s">
        <v>142</v>
      </c>
      <c r="G8" s="7" t="s">
        <v>126</v>
      </c>
      <c r="H8" s="7"/>
      <c r="I8" s="7"/>
      <c r="J8" s="7"/>
      <c r="L8" s="7" t="s">
        <v>139</v>
      </c>
      <c r="M8" s="7"/>
      <c r="N8" s="7"/>
      <c r="O8" s="7"/>
      <c r="Q8" s="7" t="s">
        <v>140</v>
      </c>
      <c r="R8" s="7"/>
      <c r="S8" s="7"/>
      <c r="T8" s="7"/>
      <c r="V8" s="7" t="s">
        <v>141</v>
      </c>
      <c r="W8" s="7"/>
      <c r="X8" s="7"/>
      <c r="Y8" s="7"/>
    </row>
    <row r="9" spans="1:25" x14ac:dyDescent="0.25">
      <c r="E9" s="8"/>
      <c r="F9" s="8"/>
      <c r="G9" s="9" t="s">
        <v>131</v>
      </c>
      <c r="H9" s="9" t="s">
        <v>132</v>
      </c>
      <c r="I9" s="9" t="s">
        <v>133</v>
      </c>
      <c r="J9" s="9" t="s">
        <v>134</v>
      </c>
      <c r="L9" s="9" t="s">
        <v>131</v>
      </c>
      <c r="M9" s="9" t="s">
        <v>132</v>
      </c>
      <c r="N9" s="9" t="s">
        <v>133</v>
      </c>
      <c r="O9" s="9" t="s">
        <v>134</v>
      </c>
      <c r="Q9" s="9" t="s">
        <v>131</v>
      </c>
      <c r="R9" s="9" t="s">
        <v>132</v>
      </c>
      <c r="S9" s="9" t="s">
        <v>133</v>
      </c>
      <c r="T9" s="9" t="s">
        <v>134</v>
      </c>
      <c r="V9" s="9" t="s">
        <v>131</v>
      </c>
      <c r="W9" s="9" t="s">
        <v>132</v>
      </c>
      <c r="X9" s="9" t="s">
        <v>133</v>
      </c>
      <c r="Y9" s="9" t="s">
        <v>134</v>
      </c>
    </row>
    <row r="10" spans="1:25" x14ac:dyDescent="0.25">
      <c r="A10" t="str">
        <f>_xlfn.TEXTJOIN("",TRUE,B10:C10)</f>
        <v>T1lambda</v>
      </c>
      <c r="B10" s="7" t="s">
        <v>143</v>
      </c>
      <c r="C10" s="7" t="s">
        <v>144</v>
      </c>
      <c r="D10" s="7"/>
      <c r="E10" s="7" t="s">
        <v>143</v>
      </c>
      <c r="F10" s="7" t="s">
        <v>145</v>
      </c>
      <c r="G10" s="10">
        <f>INDEX(Sheet1!$E$69:$AJ$150,MATCH($A10,Sheet1!$E$69:$E$150,0),MATCH(G$1,Sheet1!$E$69:$AJ$69,0))</f>
        <v>2.2085059620913556</v>
      </c>
      <c r="H10" s="10">
        <f>INDEX(Sheet1!$E$69:$AJ$150,MATCH($A10,Sheet1!$E$69:$E$150,0),MATCH(H$1,Sheet1!$E$69:$AJ$69,0))</f>
        <v>1.086046214814729</v>
      </c>
      <c r="I10" s="10">
        <f>INDEX(Sheet1!$E$69:$AJ$150,MATCH($A10,Sheet1!$E$69:$E$150,0),MATCH(I$1,Sheet1!$E$69:$AJ$69,0))</f>
        <v>0.34929416227783383</v>
      </c>
      <c r="J10" s="10">
        <f>INDEX(Sheet1!$E$69:$AJ$150,MATCH($A10,Sheet1!$E$69:$E$150,0),MATCH(J$1,Sheet1!$E$69:$AJ$69,0))</f>
        <v>0</v>
      </c>
      <c r="K10" s="10"/>
      <c r="L10" s="10">
        <f>INDEX(Sheet1!$E$69:$AJ$150,MATCH($A10,Sheet1!$E$69:$E$150,0),MATCH(L$1,Sheet1!$E$69:$AJ$69,0))</f>
        <v>2.0496972879536264</v>
      </c>
      <c r="M10" s="10">
        <f>INDEX(Sheet1!$E$69:$AJ$150,MATCH($A10,Sheet1!$E$69:$E$150,0),MATCH(M$1,Sheet1!$E$69:$AJ$69,0))</f>
        <v>1.2520238188060637</v>
      </c>
      <c r="N10" s="10">
        <f>INDEX(Sheet1!$E$69:$AJ$150,MATCH($A10,Sheet1!$E$69:$E$150,0),MATCH(N$1,Sheet1!$E$69:$AJ$69,0))</f>
        <v>9.2701248426861893E-2</v>
      </c>
      <c r="O10" s="10">
        <f>INDEX(Sheet1!$E$69:$AJ$150,MATCH($A10,Sheet1!$E$69:$E$150,0),MATCH(O$1,Sheet1!$E$69:$AJ$69,0))</f>
        <v>0</v>
      </c>
      <c r="P10" s="10"/>
      <c r="Q10" s="10">
        <f>INDEX(Sheet1!$E$69:$AJ$150,MATCH($A10,Sheet1!$E$69:$E$150,0),MATCH(Q$1,Sheet1!$E$69:$AJ$69,0))</f>
        <v>1.8908886138158973</v>
      </c>
      <c r="R10" s="10">
        <f>INDEX(Sheet1!$E$69:$AJ$150,MATCH($A10,Sheet1!$E$69:$E$150,0),MATCH(R$1,Sheet1!$E$69:$AJ$69,0))</f>
        <v>1.4180014227973987</v>
      </c>
      <c r="S10" s="10">
        <f>INDEX(Sheet1!$E$69:$AJ$150,MATCH($A10,Sheet1!$E$69:$E$150,0),MATCH(S$1,Sheet1!$E$69:$AJ$69,0))</f>
        <v>-0.16389166542411027</v>
      </c>
      <c r="T10" s="10">
        <f>INDEX(Sheet1!$E$69:$AJ$150,MATCH($A10,Sheet1!$E$69:$E$150,0),MATCH(T$1,Sheet1!$E$69:$AJ$69,0))</f>
        <v>0</v>
      </c>
      <c r="U10" s="10"/>
      <c r="V10" s="10">
        <f>INDEX(Sheet1!$E$69:$AJ$150,MATCH($A10,Sheet1!$E$69:$E$150,0),MATCH(V$1,Sheet1!$E$69:$AJ$69,0))</f>
        <v>1.7320799396781683</v>
      </c>
      <c r="W10" s="10">
        <f>INDEX(Sheet1!$E$69:$AJ$150,MATCH($A10,Sheet1!$E$69:$E$150,0),MATCH(W$1,Sheet1!$E$69:$AJ$69,0))</f>
        <v>1.5839790267887335</v>
      </c>
      <c r="X10" s="10">
        <f>INDEX(Sheet1!$E$69:$AJ$150,MATCH($A10,Sheet1!$E$69:$E$150,0),MATCH(X$1,Sheet1!$E$69:$AJ$69,0))</f>
        <v>-0.42048457927508243</v>
      </c>
      <c r="Y10" s="10">
        <f>INDEX(Sheet1!$E$69:$AJ$150,MATCH($A10,Sheet1!$E$69:$E$150,0),MATCH(Y$1,Sheet1!$E$69:$AJ$69,0))</f>
        <v>0</v>
      </c>
    </row>
    <row r="11" spans="1:25" x14ac:dyDescent="0.25">
      <c r="A11" t="str">
        <f t="shared" ref="A11:A32" si="1">_xlfn.TEXTJOIN("",TRUE,B11:C11)</f>
        <v>T1e^lambda-1</v>
      </c>
      <c r="B11" s="7" t="s">
        <v>143</v>
      </c>
      <c r="C11" s="11" t="s">
        <v>146</v>
      </c>
      <c r="D11" s="11"/>
      <c r="F11" s="11" t="s">
        <v>147</v>
      </c>
      <c r="G11" s="10">
        <f>INDEX(Sheet1!$E$69:$AJ$150,MATCH($A11,Sheet1!$E$69:$E$150,0),MATCH(G$1,Sheet1!$E$69:$AJ$69,0))</f>
        <v>8.1021073359397118</v>
      </c>
      <c r="H11" s="10">
        <f>INDEX(Sheet1!$E$69:$AJ$150,MATCH($A11,Sheet1!$E$69:$E$150,0),MATCH(H$1,Sheet1!$E$69:$AJ$69,0))</f>
        <v>1.9625376487364088</v>
      </c>
      <c r="I11" s="10">
        <f>INDEX(Sheet1!$E$69:$AJ$150,MATCH($A11,Sheet1!$E$69:$E$150,0),MATCH(I$1,Sheet1!$E$69:$AJ$69,0))</f>
        <v>0.41806627059861801</v>
      </c>
      <c r="J11" s="10">
        <f>INDEX(Sheet1!$E$69:$AJ$150,MATCH($A11,Sheet1!$E$69:$E$150,0),MATCH(J$1,Sheet1!$E$69:$AJ$69,0))</f>
        <v>0</v>
      </c>
      <c r="K11" s="10"/>
      <c r="L11" s="10">
        <f>INDEX(Sheet1!$E$69:$AJ$150,MATCH($A11,Sheet1!$E$69:$E$150,0),MATCH(L$1,Sheet1!$E$69:$AJ$69,0))</f>
        <v>6.7655500249351341</v>
      </c>
      <c r="M11" s="10">
        <f>INDEX(Sheet1!$E$69:$AJ$150,MATCH($A11,Sheet1!$E$69:$E$150,0),MATCH(M$1,Sheet1!$E$69:$AJ$69,0))</f>
        <v>2.4974139319508724</v>
      </c>
      <c r="N11" s="10">
        <f>INDEX(Sheet1!$E$69:$AJ$150,MATCH($A11,Sheet1!$E$69:$E$150,0),MATCH(N$1,Sheet1!$E$69:$AJ$69,0))</f>
        <v>9.7133915818938155E-2</v>
      </c>
      <c r="O11" s="10">
        <f>INDEX(Sheet1!$E$69:$AJ$150,MATCH($A11,Sheet1!$E$69:$E$150,0),MATCH(O$1,Sheet1!$E$69:$AJ$69,0))</f>
        <v>0</v>
      </c>
      <c r="P11" s="10"/>
      <c r="Q11" s="10">
        <f>INDEX(Sheet1!$E$69:$AJ$150,MATCH($A11,Sheet1!$E$69:$E$150,0),MATCH(Q$1,Sheet1!$E$69:$AJ$69,0))</f>
        <v>5.6252533577208403</v>
      </c>
      <c r="R11" s="10">
        <f>INDEX(Sheet1!$E$69:$AJ$150,MATCH($A11,Sheet1!$E$69:$E$150,0),MATCH(R$1,Sheet1!$E$69:$AJ$69,0))</f>
        <v>3.1288603426259431</v>
      </c>
      <c r="S11" s="10">
        <f>INDEX(Sheet1!$E$69:$AJ$150,MATCH($A11,Sheet1!$E$69:$E$150,0),MATCH(S$1,Sheet1!$E$69:$AJ$69,0))</f>
        <v>-0.15116602503205367</v>
      </c>
      <c r="T11" s="10">
        <f>INDEX(Sheet1!$E$69:$AJ$150,MATCH($A11,Sheet1!$E$69:$E$150,0),MATCH(T$1,Sheet1!$E$69:$AJ$69,0))</f>
        <v>0</v>
      </c>
      <c r="U11" s="10"/>
      <c r="V11" s="10">
        <f>INDEX(Sheet1!$E$69:$AJ$150,MATCH($A11,Sheet1!$E$69:$E$150,0),MATCH(V$1,Sheet1!$E$69:$AJ$69,0))</f>
        <v>4.6523983379217144</v>
      </c>
      <c r="W11" s="10">
        <f>INDEX(Sheet1!$E$69:$AJ$150,MATCH($A11,Sheet1!$E$69:$E$150,0),MATCH(W$1,Sheet1!$E$69:$AJ$69,0))</f>
        <v>3.8743122949133024</v>
      </c>
      <c r="X11" s="10">
        <f>INDEX(Sheet1!$E$69:$AJ$150,MATCH($A11,Sheet1!$E$69:$E$150,0),MATCH(X$1,Sheet1!$E$69:$AJ$69,0))</f>
        <v>-0.34327149432613768</v>
      </c>
      <c r="Y11" s="10">
        <f>INDEX(Sheet1!$E$69:$AJ$150,MATCH($A11,Sheet1!$E$69:$E$150,0),MATCH(Y$1,Sheet1!$E$69:$AJ$69,0))</f>
        <v>0</v>
      </c>
    </row>
    <row r="12" spans="1:25" x14ac:dyDescent="0.25">
      <c r="A12" t="str">
        <f t="shared" si="1"/>
        <v>T1R</v>
      </c>
      <c r="B12" s="7" t="s">
        <v>148</v>
      </c>
      <c r="C12" s="11" t="s">
        <v>149</v>
      </c>
      <c r="D12" s="11"/>
      <c r="F12" s="11" t="s">
        <v>150</v>
      </c>
      <c r="G12" s="12">
        <f>INDEX(Sheet1!$E$69:$AJ$150,MATCH($A12,Sheet1!$E$69:$E$150,0),MATCH(G$1,Sheet1!$E$69:$AJ$69,0))</f>
        <v>1</v>
      </c>
      <c r="H12" s="12">
        <f>INDEX(Sheet1!$E$69:$AJ$150,MATCH($A12,Sheet1!$E$69:$E$150,0),MATCH(H$1,Sheet1!$E$69:$AJ$69,0))</f>
        <v>1</v>
      </c>
      <c r="I12" s="12">
        <f>INDEX(Sheet1!$E$69:$AJ$150,MATCH($A12,Sheet1!$E$69:$E$150,0),MATCH(I$1,Sheet1!$E$69:$AJ$69,0))</f>
        <v>1</v>
      </c>
      <c r="J12" s="12">
        <f>INDEX(Sheet1!$E$69:$AJ$150,MATCH($A12,Sheet1!$E$69:$E$150,0),MATCH(J$1,Sheet1!$E$69:$AJ$69,0))</f>
        <v>1</v>
      </c>
      <c r="K12" s="12"/>
      <c r="L12" s="12">
        <f>INDEX(Sheet1!$E$69:$AJ$150,MATCH($A12,Sheet1!$E$69:$E$150,0),MATCH(L$1,Sheet1!$E$69:$AJ$69,0))</f>
        <v>1</v>
      </c>
      <c r="M12" s="12">
        <f>INDEX(Sheet1!$E$69:$AJ$150,MATCH($A12,Sheet1!$E$69:$E$150,0),MATCH(M$1,Sheet1!$E$69:$AJ$69,0))</f>
        <v>1</v>
      </c>
      <c r="N12" s="12">
        <f>INDEX(Sheet1!$E$69:$AJ$150,MATCH($A12,Sheet1!$E$69:$E$150,0),MATCH(N$1,Sheet1!$E$69:$AJ$69,0))</f>
        <v>1</v>
      </c>
      <c r="O12" s="12">
        <f>INDEX(Sheet1!$E$69:$AJ$150,MATCH($A12,Sheet1!$E$69:$E$150,0),MATCH(O$1,Sheet1!$E$69:$AJ$69,0))</f>
        <v>1</v>
      </c>
      <c r="P12" s="12"/>
      <c r="Q12" s="12">
        <f>INDEX(Sheet1!$E$69:$AJ$150,MATCH($A12,Sheet1!$E$69:$E$150,0),MATCH(Q$1,Sheet1!$E$69:$AJ$69,0))</f>
        <v>1</v>
      </c>
      <c r="R12" s="12">
        <f>INDEX(Sheet1!$E$69:$AJ$150,MATCH($A12,Sheet1!$E$69:$E$150,0),MATCH(R$1,Sheet1!$E$69:$AJ$69,0))</f>
        <v>1</v>
      </c>
      <c r="S12" s="12">
        <f>INDEX(Sheet1!$E$69:$AJ$150,MATCH($A12,Sheet1!$E$69:$E$150,0),MATCH(S$1,Sheet1!$E$69:$AJ$69,0))</f>
        <v>1</v>
      </c>
      <c r="T12" s="12">
        <f>INDEX(Sheet1!$E$69:$AJ$150,MATCH($A12,Sheet1!$E$69:$E$150,0),MATCH(T$1,Sheet1!$E$69:$AJ$69,0))</f>
        <v>1</v>
      </c>
      <c r="U12" s="12"/>
      <c r="V12" s="12">
        <f>INDEX(Sheet1!$E$69:$AJ$150,MATCH($A12,Sheet1!$E$69:$E$150,0),MATCH(V$1,Sheet1!$E$69:$AJ$69,0))</f>
        <v>1</v>
      </c>
      <c r="W12" s="12">
        <f>INDEX(Sheet1!$E$69:$AJ$150,MATCH($A12,Sheet1!$E$69:$E$150,0),MATCH(W$1,Sheet1!$E$69:$AJ$69,0))</f>
        <v>1</v>
      </c>
      <c r="X12" s="12">
        <f>INDEX(Sheet1!$E$69:$AJ$150,MATCH($A12,Sheet1!$E$69:$E$150,0),MATCH(X$1,Sheet1!$E$69:$AJ$69,0))</f>
        <v>1</v>
      </c>
      <c r="Y12" s="12">
        <f>INDEX(Sheet1!$E$69:$AJ$150,MATCH($A12,Sheet1!$E$69:$E$150,0),MATCH(Y$1,Sheet1!$E$69:$AJ$69,0))</f>
        <v>1</v>
      </c>
    </row>
    <row r="13" spans="1:25" x14ac:dyDescent="0.25">
      <c r="A13" t="str">
        <f t="shared" si="1"/>
        <v>T1D</v>
      </c>
      <c r="B13" s="7" t="s">
        <v>148</v>
      </c>
      <c r="C13" s="11" t="s">
        <v>151</v>
      </c>
      <c r="D13" s="11"/>
      <c r="F13" s="11" t="s">
        <v>152</v>
      </c>
      <c r="G13" s="10">
        <f>INDEX(Sheet1!$E$69:$AJ$150,MATCH($A13,Sheet1!$E$69:$E$150,0),MATCH(G$1,Sheet1!$E$69:$AJ$69,0))</f>
        <v>2.1651103841586867E-3</v>
      </c>
      <c r="H13" s="10">
        <f>INDEX(Sheet1!$E$69:$AJ$150,MATCH($A13,Sheet1!$E$69:$E$150,0),MATCH(H$1,Sheet1!$E$69:$AJ$69,0))</f>
        <v>6.6217795722694458E-3</v>
      </c>
      <c r="I13" s="10">
        <f>INDEX(Sheet1!$E$69:$AJ$150,MATCH($A13,Sheet1!$E$69:$E$150,0),MATCH(I$1,Sheet1!$E$69:$AJ$69,0))</f>
        <v>1.3732781510302265E-2</v>
      </c>
      <c r="J13" s="10">
        <f>INDEX(Sheet1!$E$69:$AJ$150,MATCH($A13,Sheet1!$E$69:$E$150,0),MATCH(J$1,Sheet1!$E$69:$AJ$69,0))</f>
        <v>1.9360601341435194E-2</v>
      </c>
      <c r="K13" s="10"/>
      <c r="L13" s="10">
        <f>INDEX(Sheet1!$E$69:$AJ$150,MATCH($A13,Sheet1!$E$69:$E$150,0),MATCH(L$1,Sheet1!$E$69:$AJ$69,0))</f>
        <v>7.4237246893278056E-4</v>
      </c>
      <c r="M13" s="10">
        <f>INDEX(Sheet1!$E$69:$AJ$150,MATCH($A13,Sheet1!$E$69:$E$150,0),MATCH(M$1,Sheet1!$E$69:$AJ$69,0))</f>
        <v>1.6468402903368476E-3</v>
      </c>
      <c r="N13" s="10">
        <f>INDEX(Sheet1!$E$69:$AJ$150,MATCH($A13,Sheet1!$E$69:$E$150,0),MATCH(N$1,Sheet1!$E$69:$AJ$69,0))</f>
        <v>5.2307976330890366E-3</v>
      </c>
      <c r="O13" s="10">
        <f>INDEX(Sheet1!$E$69:$AJ$150,MATCH($A13,Sheet1!$E$69:$E$150,0),MATCH(O$1,Sheet1!$E$69:$AJ$69,0))</f>
        <v>5.7359542101128288E-3</v>
      </c>
      <c r="P13" s="10"/>
      <c r="Q13" s="10">
        <f>INDEX(Sheet1!$E$69:$AJ$150,MATCH($A13,Sheet1!$E$69:$E$150,0),MATCH(Q$1,Sheet1!$E$69:$AJ$69,0))</f>
        <v>1.4043149003934046E-3</v>
      </c>
      <c r="R13" s="10">
        <f>INDEX(Sheet1!$E$69:$AJ$150,MATCH($A13,Sheet1!$E$69:$E$150,0),MATCH(R$1,Sheet1!$E$69:$AJ$69,0))</f>
        <v>2.2514626322853973E-3</v>
      </c>
      <c r="S13" s="10">
        <f>INDEX(Sheet1!$E$69:$AJ$150,MATCH($A13,Sheet1!$E$69:$E$150,0),MATCH(S$1,Sheet1!$E$69:$AJ$69,0))</f>
        <v>1.0856127476715088E-2</v>
      </c>
      <c r="T13" s="10">
        <f>INDEX(Sheet1!$E$69:$AJ$150,MATCH($A13,Sheet1!$E$69:$E$150,0),MATCH(T$1,Sheet1!$E$69:$AJ$69,0))</f>
        <v>9.2303400041425943E-3</v>
      </c>
      <c r="U13" s="10"/>
      <c r="V13" s="10">
        <f>INDEX(Sheet1!$E$69:$AJ$150,MATCH($A13,Sheet1!$E$69:$E$150,0),MATCH(V$1,Sheet1!$E$69:$AJ$69,0))</f>
        <v>1.5001586648112021E-3</v>
      </c>
      <c r="W13" s="10">
        <f>INDEX(Sheet1!$E$69:$AJ$150,MATCH($A13,Sheet1!$E$69:$E$150,0),MATCH(W$1,Sheet1!$E$69:$AJ$69,0))</f>
        <v>1.7392088046247307E-3</v>
      </c>
      <c r="X13" s="10">
        <f>INDEX(Sheet1!$E$69:$AJ$150,MATCH($A13,Sheet1!$E$69:$E$150,0),MATCH(X$1,Sheet1!$E$69:$AJ$69,0))</f>
        <v>1.2764805636109875E-2</v>
      </c>
      <c r="Y13" s="10">
        <f>INDEX(Sheet1!$E$69:$AJ$150,MATCH($A13,Sheet1!$E$69:$E$150,0),MATCH(Y$1,Sheet1!$E$69:$AJ$69,0))</f>
        <v>8.4202234288398708E-3</v>
      </c>
    </row>
    <row r="14" spans="1:25" x14ac:dyDescent="0.25">
      <c r="A14" t="str">
        <f t="shared" si="1"/>
        <v>T1G</v>
      </c>
      <c r="B14" s="7" t="s">
        <v>148</v>
      </c>
      <c r="C14" s="11" t="s">
        <v>153</v>
      </c>
      <c r="D14" s="11"/>
      <c r="F14" s="11" t="s">
        <v>154</v>
      </c>
      <c r="G14" s="10">
        <f>INDEX(Sheet1!$E$69:$AJ$150,MATCH($A14,Sheet1!$E$69:$E$150,0),MATCH(G$1,Sheet1!$E$69:$AJ$69,0))</f>
        <v>5.1235870960050782</v>
      </c>
      <c r="H14" s="10">
        <f>INDEX(Sheet1!$E$69:$AJ$150,MATCH($A14,Sheet1!$E$69:$E$150,0),MATCH(H$1,Sheet1!$E$69:$AJ$69,0))</f>
        <v>5.0453762286908459</v>
      </c>
      <c r="I14" s="10">
        <f>INDEX(Sheet1!$E$69:$AJ$150,MATCH($A14,Sheet1!$E$69:$E$150,0),MATCH(I$1,Sheet1!$E$69:$AJ$69,0))</f>
        <v>4.9836428203174652</v>
      </c>
      <c r="J14" s="10">
        <f>INDEX(Sheet1!$E$69:$AJ$150,MATCH($A14,Sheet1!$E$69:$E$150,0),MATCH(J$1,Sheet1!$E$69:$AJ$69,0))</f>
        <v>4.7263779096381002</v>
      </c>
      <c r="K14" s="10"/>
      <c r="L14" s="10">
        <f>INDEX(Sheet1!$E$69:$AJ$150,MATCH($A14,Sheet1!$E$69:$E$150,0),MATCH(L$1,Sheet1!$E$69:$AJ$69,0))</f>
        <v>5.1753038670201699</v>
      </c>
      <c r="M14" s="10">
        <f>INDEX(Sheet1!$E$69:$AJ$150,MATCH($A14,Sheet1!$E$69:$E$150,0),MATCH(M$1,Sheet1!$E$69:$AJ$69,0))</f>
        <v>5.094639286489846</v>
      </c>
      <c r="N14" s="10">
        <f>INDEX(Sheet1!$E$69:$AJ$150,MATCH($A14,Sheet1!$E$69:$E$150,0),MATCH(N$1,Sheet1!$E$69:$AJ$69,0))</f>
        <v>4.9837071743317392</v>
      </c>
      <c r="O14" s="10">
        <f>INDEX(Sheet1!$E$69:$AJ$150,MATCH($A14,Sheet1!$E$69:$E$150,0),MATCH(O$1,Sheet1!$E$69:$AJ$69,0))</f>
        <v>4.7686999792416405</v>
      </c>
      <c r="P14" s="10"/>
      <c r="Q14" s="10">
        <f>INDEX(Sheet1!$E$69:$AJ$150,MATCH($A14,Sheet1!$E$69:$E$150,0),MATCH(Q$1,Sheet1!$E$69:$AJ$69,0))</f>
        <v>5.459575702576835</v>
      </c>
      <c r="R14" s="10">
        <f>INDEX(Sheet1!$E$69:$AJ$150,MATCH($A14,Sheet1!$E$69:$E$150,0),MATCH(R$1,Sheet1!$E$69:$AJ$69,0))</f>
        <v>5.3845918987897736</v>
      </c>
      <c r="S14" s="10">
        <f>INDEX(Sheet1!$E$69:$AJ$150,MATCH($A14,Sheet1!$E$69:$E$150,0),MATCH(S$1,Sheet1!$E$69:$AJ$69,0))</f>
        <v>5.2306677285213441</v>
      </c>
      <c r="T14" s="10">
        <f>INDEX(Sheet1!$E$69:$AJ$150,MATCH($A14,Sheet1!$E$69:$E$150,0),MATCH(T$1,Sheet1!$E$69:$AJ$69,0))</f>
        <v>5.0519546362112866</v>
      </c>
      <c r="U14" s="10"/>
      <c r="V14" s="10">
        <f>INDEX(Sheet1!$E$69:$AJ$150,MATCH($A14,Sheet1!$E$69:$E$150,0),MATCH(V$1,Sheet1!$E$69:$AJ$69,0))</f>
        <v>5.7215066931660754</v>
      </c>
      <c r="W14" s="10">
        <f>INDEX(Sheet1!$E$69:$AJ$150,MATCH($A14,Sheet1!$E$69:$E$150,0),MATCH(W$1,Sheet1!$E$69:$AJ$69,0))</f>
        <v>5.6472904580152035</v>
      </c>
      <c r="X14" s="10">
        <f>INDEX(Sheet1!$E$69:$AJ$150,MATCH($A14,Sheet1!$E$69:$E$150,0),MATCH(X$1,Sheet1!$E$69:$AJ$69,0))</f>
        <v>5.4443556198286727</v>
      </c>
      <c r="Y14" s="10">
        <f>INDEX(Sheet1!$E$69:$AJ$150,MATCH($A14,Sheet1!$E$69:$E$150,0),MATCH(Y$1,Sheet1!$E$69:$AJ$69,0))</f>
        <v>5.2844733248526339</v>
      </c>
    </row>
    <row r="15" spans="1:25" x14ac:dyDescent="0.25">
      <c r="A15" t="str">
        <f t="shared" si="1"/>
        <v>T1Weight</v>
      </c>
      <c r="B15" s="7" t="s">
        <v>148</v>
      </c>
      <c r="C15" s="11" t="s">
        <v>168</v>
      </c>
      <c r="D15" s="11"/>
      <c r="F15" s="13" t="s">
        <v>168</v>
      </c>
      <c r="G15" s="10">
        <f>INDEX(Sheet1!$E$69:$AJ$150,MATCH($A15,Sheet1!$E$69:$E$150,0),MATCH(G$1,Sheet1!$E$69:$AJ$69,0))</f>
        <v>1.1093131625702045E-2</v>
      </c>
      <c r="H15" s="10">
        <f>INDEX(Sheet1!$E$69:$AJ$150,MATCH($A15,Sheet1!$E$69:$E$150,0),MATCH(H$1,Sheet1!$E$69:$AJ$69,0))</f>
        <v>3.3409369245558901E-2</v>
      </c>
      <c r="I15" s="10">
        <f>INDEX(Sheet1!$E$69:$AJ$150,MATCH($A15,Sheet1!$E$69:$E$150,0),MATCH(I$1,Sheet1!$E$69:$AJ$69,0))</f>
        <v>6.8439277976806323E-2</v>
      </c>
      <c r="J15" s="10">
        <f>INDEX(Sheet1!$E$69:$AJ$150,MATCH($A15,Sheet1!$E$69:$E$150,0),MATCH(J$1,Sheet1!$E$69:$AJ$69,0))</f>
        <v>9.1505518497469074E-2</v>
      </c>
      <c r="K15" s="10"/>
      <c r="L15" s="10">
        <f>INDEX(Sheet1!$E$69:$AJ$150,MATCH($A15,Sheet1!$E$69:$E$150,0),MATCH(L$1,Sheet1!$E$69:$AJ$69,0))</f>
        <v>3.8420031092371303E-3</v>
      </c>
      <c r="M15" s="10">
        <f>INDEX(Sheet1!$E$69:$AJ$150,MATCH($A15,Sheet1!$E$69:$E$150,0),MATCH(M$1,Sheet1!$E$69:$AJ$69,0))</f>
        <v>8.3900572417244471E-3</v>
      </c>
      <c r="N15" s="10">
        <f>INDEX(Sheet1!$E$69:$AJ$150,MATCH($A15,Sheet1!$E$69:$E$150,0),MATCH(N$1,Sheet1!$E$69:$AJ$69,0))</f>
        <v>2.6068763691503311E-2</v>
      </c>
      <c r="O15" s="10">
        <f>INDEX(Sheet1!$E$69:$AJ$150,MATCH($A15,Sheet1!$E$69:$E$150,0),MATCH(O$1,Sheet1!$E$69:$AJ$69,0))</f>
        <v>2.7353044722696045E-2</v>
      </c>
      <c r="P15" s="10"/>
      <c r="Q15" s="10">
        <f>INDEX(Sheet1!$E$69:$AJ$150,MATCH($A15,Sheet1!$E$69:$E$150,0),MATCH(Q$1,Sheet1!$E$69:$AJ$69,0))</f>
        <v>7.66696350895444E-3</v>
      </c>
      <c r="R15" s="10">
        <f>INDEX(Sheet1!$E$69:$AJ$150,MATCH($A15,Sheet1!$E$69:$E$150,0),MATCH(R$1,Sheet1!$E$69:$AJ$69,0))</f>
        <v>1.2123207450231849E-2</v>
      </c>
      <c r="S15" s="10">
        <f>INDEX(Sheet1!$E$69:$AJ$150,MATCH($A15,Sheet1!$E$69:$E$150,0),MATCH(S$1,Sheet1!$E$69:$AJ$69,0))</f>
        <v>5.6784795649167462E-2</v>
      </c>
      <c r="T15" s="10">
        <f>INDEX(Sheet1!$E$69:$AJ$150,MATCH($A15,Sheet1!$E$69:$E$150,0),MATCH(T$1,Sheet1!$E$69:$AJ$69,0))</f>
        <v>4.6631258977734687E-2</v>
      </c>
      <c r="U15" s="10"/>
      <c r="V15" s="10">
        <f>INDEX(Sheet1!$E$69:$AJ$150,MATCH($A15,Sheet1!$E$69:$E$150,0),MATCH(V$1,Sheet1!$E$69:$AJ$69,0))</f>
        <v>8.5831678415283757E-3</v>
      </c>
      <c r="W15" s="10">
        <f>INDEX(Sheet1!$E$69:$AJ$150,MATCH($A15,Sheet1!$E$69:$E$150,0),MATCH(W$1,Sheet1!$E$69:$AJ$69,0))</f>
        <v>9.8218172868532704E-3</v>
      </c>
      <c r="X15" s="10">
        <f>INDEX(Sheet1!$E$69:$AJ$150,MATCH($A15,Sheet1!$E$69:$E$150,0),MATCH(X$1,Sheet1!$E$69:$AJ$69,0))</f>
        <v>6.949614130097552E-2</v>
      </c>
      <c r="Y15" s="10">
        <f>INDEX(Sheet1!$E$69:$AJ$150,MATCH($A15,Sheet1!$E$69:$E$150,0),MATCH(Y$1,Sheet1!$E$69:$AJ$69,0))</f>
        <v>4.4496446099003474E-2</v>
      </c>
    </row>
    <row r="16" spans="1:25" x14ac:dyDescent="0.25">
      <c r="A16" t="str">
        <f t="shared" si="1"/>
        <v>T1p</v>
      </c>
      <c r="B16" s="7" t="s">
        <v>148</v>
      </c>
      <c r="C16" s="11" t="s">
        <v>156</v>
      </c>
      <c r="D16" s="11"/>
      <c r="E16" s="14"/>
      <c r="F16" s="15" t="s">
        <v>156</v>
      </c>
      <c r="G16" s="16">
        <f>INDEX(Sheet1!$E$69:$AJ$150,MATCH($A16,Sheet1!$E$69:$E$150,0),MATCH(G$1,Sheet1!$E$69:$AJ$69,0))</f>
        <v>0.99779126558458775</v>
      </c>
      <c r="H16" s="16">
        <f>INDEX(Sheet1!$E$69:$AJ$150,MATCH($A16,Sheet1!$E$69:$E$150,0),MATCH(H$1,Sheet1!$E$69:$AJ$69,0))</f>
        <v>0.9932448005701896</v>
      </c>
      <c r="I16" s="16">
        <f>INDEX(Sheet1!$E$69:$AJ$150,MATCH($A16,Sheet1!$E$69:$E$150,0),MATCH(I$1,Sheet1!$E$69:$AJ$69,0))</f>
        <v>0.98599052160893497</v>
      </c>
      <c r="J16" s="16">
        <f>INDEX(Sheet1!$E$69:$AJ$150,MATCH($A16,Sheet1!$E$69:$E$150,0),MATCH(J$1,Sheet1!$E$69:$AJ$69,0))</f>
        <v>0.98024930885797723</v>
      </c>
      <c r="K16" s="10"/>
      <c r="L16" s="16">
        <f>INDEX(Sheet1!$E$69:$AJ$150,MATCH($A16,Sheet1!$E$69:$E$150,0),MATCH(L$1,Sheet1!$E$69:$AJ$69,0))</f>
        <v>0.99925331975478304</v>
      </c>
      <c r="M16" s="16">
        <f>INDEX(Sheet1!$E$69:$AJ$150,MATCH($A16,Sheet1!$E$69:$E$150,0),MATCH(M$1,Sheet1!$E$69:$AJ$69,0))</f>
        <v>0.9983436035638692</v>
      </c>
      <c r="N16" s="16">
        <f>INDEX(Sheet1!$E$69:$AJ$150,MATCH($A16,Sheet1!$E$69:$E$150,0),MATCH(N$1,Sheet1!$E$69:$AJ$69,0))</f>
        <v>0.99473884953604219</v>
      </c>
      <c r="O16" s="16">
        <f>INDEX(Sheet1!$E$69:$AJ$150,MATCH($A16,Sheet1!$E$69:$E$150,0),MATCH(O$1,Sheet1!$E$69:$AJ$69,0))</f>
        <v>0.99423076167908364</v>
      </c>
      <c r="P16" s="10"/>
      <c r="Q16" s="16">
        <f>INDEX(Sheet1!$E$69:$AJ$150,MATCH($A16,Sheet1!$E$69:$E$150,0),MATCH(Q$1,Sheet1!$E$69:$AJ$69,0))</f>
        <v>0.99858247783398557</v>
      </c>
      <c r="R16" s="16">
        <f>INDEX(Sheet1!$E$69:$AJ$150,MATCH($A16,Sheet1!$E$69:$E$150,0),MATCH(R$1,Sheet1!$E$69:$AJ$69,0))</f>
        <v>0.99772736286831132</v>
      </c>
      <c r="S16" s="16">
        <f>INDEX(Sheet1!$E$69:$AJ$150,MATCH($A16,Sheet1!$E$69:$E$150,0),MATCH(S$1,Sheet1!$E$69:$AJ$69,0))</f>
        <v>0.98904177308735319</v>
      </c>
      <c r="T16" s="16">
        <f>INDEX(Sheet1!$E$69:$AJ$150,MATCH($A16,Sheet1!$E$69:$E$150,0),MATCH(T$1,Sheet1!$E$69:$AJ$69,0))</f>
        <v>0.99068285072524942</v>
      </c>
      <c r="U16" s="10"/>
      <c r="V16" s="16">
        <f>INDEX(Sheet1!$E$69:$AJ$150,MATCH($A16,Sheet1!$E$69:$E$150,0),MATCH(V$1,Sheet1!$E$69:$AJ$69,0))</f>
        <v>0.99848699235481408</v>
      </c>
      <c r="W16" s="16">
        <f>INDEX(Sheet1!$E$69:$AJ$150,MATCH($A16,Sheet1!$E$69:$E$150,0),MATCH(W$1,Sheet1!$E$69:$AJ$69,0))</f>
        <v>0.99824589473120628</v>
      </c>
      <c r="X16" s="16">
        <f>INDEX(Sheet1!$E$69:$AJ$150,MATCH($A16,Sheet1!$E$69:$E$150,0),MATCH(X$1,Sheet1!$E$69:$AJ$69,0))</f>
        <v>0.9871258627705376</v>
      </c>
      <c r="Y16" s="16">
        <f>INDEX(Sheet1!$E$69:$AJ$150,MATCH($A16,Sheet1!$E$69:$E$150,0),MATCH(Y$1,Sheet1!$E$69:$AJ$69,0))</f>
        <v>0.99150765667602792</v>
      </c>
    </row>
    <row r="17" spans="1:25" x14ac:dyDescent="0.25">
      <c r="A17" t="str">
        <f t="shared" si="1"/>
        <v>T2lambda</v>
      </c>
      <c r="B17" s="7" t="s">
        <v>157</v>
      </c>
      <c r="C17" s="7" t="s">
        <v>144</v>
      </c>
      <c r="D17" s="7"/>
      <c r="E17" s="7" t="s">
        <v>157</v>
      </c>
      <c r="F17" s="7" t="s">
        <v>145</v>
      </c>
      <c r="G17" s="10">
        <f>INDEX(Sheet1!$E$69:$AJ$150,MATCH($A17,Sheet1!$E$69:$E$150,0),MATCH(G$1,Sheet1!$E$69:$AJ$69,0))</f>
        <v>0.89157475590667723</v>
      </c>
      <c r="H17" s="10">
        <f>INDEX(Sheet1!$E$69:$AJ$150,MATCH($A17,Sheet1!$E$69:$E$150,0),MATCH(H$1,Sheet1!$E$69:$AJ$69,0))</f>
        <v>0.62994228971658139</v>
      </c>
      <c r="I17" s="10">
        <f>INDEX(Sheet1!$E$69:$AJ$150,MATCH($A17,Sheet1!$E$69:$E$150,0),MATCH(I$1,Sheet1!$E$69:$AJ$69,0))</f>
        <v>0.53909006070727816</v>
      </c>
      <c r="J17" s="10">
        <f>INDEX(Sheet1!$E$69:$AJ$150,MATCH($A17,Sheet1!$E$69:$E$150,0),MATCH(J$1,Sheet1!$E$69:$AJ$69,0))</f>
        <v>0</v>
      </c>
      <c r="K17" s="10"/>
      <c r="L17" s="10">
        <f>INDEX(Sheet1!$E$69:$AJ$150,MATCH($A17,Sheet1!$E$69:$E$150,0),MATCH(L$1,Sheet1!$E$69:$AJ$69,0))</f>
        <v>0.82557910799358369</v>
      </c>
      <c r="M17" s="10">
        <f>INDEX(Sheet1!$E$69:$AJ$150,MATCH($A17,Sheet1!$E$69:$E$150,0),MATCH(M$1,Sheet1!$E$69:$AJ$69,0))</f>
        <v>0.57582278569506051</v>
      </c>
      <c r="N17" s="10">
        <f>INDEX(Sheet1!$E$69:$AJ$150,MATCH($A17,Sheet1!$E$69:$E$150,0),MATCH(N$1,Sheet1!$E$69:$AJ$69,0))</f>
        <v>0.39907757791904164</v>
      </c>
      <c r="O17" s="10">
        <f>INDEX(Sheet1!$E$69:$AJ$150,MATCH($A17,Sheet1!$E$69:$E$150,0),MATCH(O$1,Sheet1!$E$69:$AJ$69,0))</f>
        <v>0</v>
      </c>
      <c r="P17" s="10"/>
      <c r="Q17" s="10">
        <f>INDEX(Sheet1!$E$69:$AJ$150,MATCH($A17,Sheet1!$E$69:$E$150,0),MATCH(Q$1,Sheet1!$E$69:$AJ$69,0))</f>
        <v>0.75958346008049005</v>
      </c>
      <c r="R17" s="10">
        <f>INDEX(Sheet1!$E$69:$AJ$150,MATCH($A17,Sheet1!$E$69:$E$150,0),MATCH(R$1,Sheet1!$E$69:$AJ$69,0))</f>
        <v>0.52170328167353963</v>
      </c>
      <c r="S17" s="10">
        <f>INDEX(Sheet1!$E$69:$AJ$150,MATCH($A17,Sheet1!$E$69:$E$150,0),MATCH(S$1,Sheet1!$E$69:$AJ$69,0))</f>
        <v>0.25906509513080511</v>
      </c>
      <c r="T17" s="10">
        <f>INDEX(Sheet1!$E$69:$AJ$150,MATCH($A17,Sheet1!$E$69:$E$150,0),MATCH(T$1,Sheet1!$E$69:$AJ$69,0))</f>
        <v>0</v>
      </c>
      <c r="U17" s="10"/>
      <c r="V17" s="10">
        <f>INDEX(Sheet1!$E$69:$AJ$150,MATCH($A17,Sheet1!$E$69:$E$150,0),MATCH(V$1,Sheet1!$E$69:$AJ$69,0))</f>
        <v>0.6935878121673964</v>
      </c>
      <c r="W17" s="10">
        <f>INDEX(Sheet1!$E$69:$AJ$150,MATCH($A17,Sheet1!$E$69:$E$150,0),MATCH(W$1,Sheet1!$E$69:$AJ$69,0))</f>
        <v>0.4675837776520187</v>
      </c>
      <c r="X17" s="10">
        <f>INDEX(Sheet1!$E$69:$AJ$150,MATCH($A17,Sheet1!$E$69:$E$150,0),MATCH(X$1,Sheet1!$E$69:$AJ$69,0))</f>
        <v>0.11905261234256859</v>
      </c>
      <c r="Y17" s="10">
        <f>INDEX(Sheet1!$E$69:$AJ$150,MATCH($A17,Sheet1!$E$69:$E$150,0),MATCH(Y$1,Sheet1!$E$69:$AJ$69,0))</f>
        <v>0</v>
      </c>
    </row>
    <row r="18" spans="1:25" x14ac:dyDescent="0.25">
      <c r="A18" t="str">
        <f t="shared" si="1"/>
        <v>T2e^lambda-1</v>
      </c>
      <c r="B18" s="7" t="s">
        <v>157</v>
      </c>
      <c r="C18" s="11" t="s">
        <v>146</v>
      </c>
      <c r="D18" s="11"/>
      <c r="F18" s="11" t="s">
        <v>147</v>
      </c>
      <c r="G18" s="10">
        <f>INDEX(Sheet1!$E$69:$AJ$150,MATCH($A18,Sheet1!$E$69:$E$150,0),MATCH(G$1,Sheet1!$E$69:$AJ$69,0))</f>
        <v>1.4389674070629641</v>
      </c>
      <c r="H18" s="10">
        <f>INDEX(Sheet1!$E$69:$AJ$150,MATCH($A18,Sheet1!$E$69:$E$150,0),MATCH(H$1,Sheet1!$E$69:$AJ$69,0))</f>
        <v>0.87750222495227304</v>
      </c>
      <c r="I18" s="10">
        <f>INDEX(Sheet1!$E$69:$AJ$150,MATCH($A18,Sheet1!$E$69:$E$150,0),MATCH(I$1,Sheet1!$E$69:$AJ$69,0))</f>
        <v>0.71444611031679206</v>
      </c>
      <c r="J18" s="10">
        <f>INDEX(Sheet1!$E$69:$AJ$150,MATCH($A18,Sheet1!$E$69:$E$150,0),MATCH(J$1,Sheet1!$E$69:$AJ$69,0))</f>
        <v>0</v>
      </c>
      <c r="K18" s="10"/>
      <c r="L18" s="10">
        <f>INDEX(Sheet1!$E$69:$AJ$150,MATCH($A18,Sheet1!$E$69:$E$150,0),MATCH(L$1,Sheet1!$E$69:$AJ$69,0))</f>
        <v>1.2832026034274735</v>
      </c>
      <c r="M18" s="10">
        <f>INDEX(Sheet1!$E$69:$AJ$150,MATCH($A18,Sheet1!$E$69:$E$150,0),MATCH(M$1,Sheet1!$E$69:$AJ$69,0))</f>
        <v>0.77859332619247579</v>
      </c>
      <c r="N18" s="10">
        <f>INDEX(Sheet1!$E$69:$AJ$150,MATCH($A18,Sheet1!$E$69:$E$150,0),MATCH(N$1,Sheet1!$E$69:$AJ$69,0))</f>
        <v>0.49044924007299029</v>
      </c>
      <c r="O18" s="10">
        <f>INDEX(Sheet1!$E$69:$AJ$150,MATCH($A18,Sheet1!$E$69:$E$150,0),MATCH(O$1,Sheet1!$E$69:$AJ$69,0))</f>
        <v>0</v>
      </c>
      <c r="P18" s="10"/>
      <c r="Q18" s="10">
        <f>INDEX(Sheet1!$E$69:$AJ$150,MATCH($A18,Sheet1!$E$69:$E$150,0),MATCH(Q$1,Sheet1!$E$69:$AJ$69,0))</f>
        <v>1.1373857285676365</v>
      </c>
      <c r="R18" s="10">
        <f>INDEX(Sheet1!$E$69:$AJ$150,MATCH($A18,Sheet1!$E$69:$E$150,0),MATCH(R$1,Sheet1!$E$69:$AJ$69,0))</f>
        <v>0.68489505787767002</v>
      </c>
      <c r="S18" s="10">
        <f>INDEX(Sheet1!$E$69:$AJ$150,MATCH($A18,Sheet1!$E$69:$E$150,0),MATCH(S$1,Sheet1!$E$69:$AJ$69,0))</f>
        <v>0.29571814702515264</v>
      </c>
      <c r="T18" s="10">
        <f>INDEX(Sheet1!$E$69:$AJ$150,MATCH($A18,Sheet1!$E$69:$E$150,0),MATCH(T$1,Sheet1!$E$69:$AJ$69,0))</f>
        <v>0</v>
      </c>
      <c r="U18" s="10"/>
      <c r="V18" s="10">
        <f>INDEX(Sheet1!$E$69:$AJ$150,MATCH($A18,Sheet1!$E$69:$E$150,0),MATCH(V$1,Sheet1!$E$69:$AJ$69,0))</f>
        <v>1.0008814573996361</v>
      </c>
      <c r="W18" s="10">
        <f>INDEX(Sheet1!$E$69:$AJ$150,MATCH($A18,Sheet1!$E$69:$E$150,0),MATCH(W$1,Sheet1!$E$69:$AJ$69,0))</f>
        <v>0.59613291821909153</v>
      </c>
      <c r="X18" s="10">
        <f>INDEX(Sheet1!$E$69:$AJ$150,MATCH($A18,Sheet1!$E$69:$E$150,0),MATCH(X$1,Sheet1!$E$69:$AJ$69,0))</f>
        <v>0.12642918080730925</v>
      </c>
      <c r="Y18" s="10">
        <f>INDEX(Sheet1!$E$69:$AJ$150,MATCH($A18,Sheet1!$E$69:$E$150,0),MATCH(Y$1,Sheet1!$E$69:$AJ$69,0))</f>
        <v>0</v>
      </c>
    </row>
    <row r="19" spans="1:25" x14ac:dyDescent="0.25">
      <c r="A19" t="str">
        <f t="shared" si="1"/>
        <v>T2R</v>
      </c>
      <c r="B19" s="7" t="s">
        <v>158</v>
      </c>
      <c r="C19" s="11" t="s">
        <v>149</v>
      </c>
      <c r="D19" s="11"/>
      <c r="F19" s="11" t="s">
        <v>150</v>
      </c>
      <c r="G19" s="10">
        <f>INDEX(Sheet1!$E$69:$AJ$150,MATCH($A19,Sheet1!$E$69:$E$150,0),MATCH(G$1,Sheet1!$E$69:$AJ$69,0))</f>
        <v>0.98902028722128255</v>
      </c>
      <c r="H19" s="10">
        <f>INDEX(Sheet1!$E$69:$AJ$150,MATCH($A19,Sheet1!$E$69:$E$150,0),MATCH(H$1,Sheet1!$E$69:$AJ$69,0))</f>
        <v>0.98674705471408342</v>
      </c>
      <c r="I19" s="10">
        <f>INDEX(Sheet1!$E$69:$AJ$150,MATCH($A19,Sheet1!$E$69:$E$150,0),MATCH(I$1,Sheet1!$E$69:$AJ$69,0))</f>
        <v>0.9831199152334561</v>
      </c>
      <c r="J19" s="10">
        <f>INDEX(Sheet1!$E$69:$AJ$150,MATCH($A19,Sheet1!$E$69:$E$150,0),MATCH(J$1,Sheet1!$E$69:$AJ$69,0))</f>
        <v>0.98024930885797723</v>
      </c>
      <c r="K19" s="10"/>
      <c r="L19" s="10">
        <f>INDEX(Sheet1!$E$69:$AJ$150,MATCH($A19,Sheet1!$E$69:$E$150,0),MATCH(L$1,Sheet1!$E$69:$AJ$69,0))</f>
        <v>0.9967420407169334</v>
      </c>
      <c r="M19" s="10">
        <f>INDEX(Sheet1!$E$69:$AJ$150,MATCH($A19,Sheet1!$E$69:$E$150,0),MATCH(M$1,Sheet1!$E$69:$AJ$69,0))</f>
        <v>0.99628718262147642</v>
      </c>
      <c r="N19" s="10">
        <f>INDEX(Sheet1!$E$69:$AJ$150,MATCH($A19,Sheet1!$E$69:$E$150,0),MATCH(N$1,Sheet1!$E$69:$AJ$69,0))</f>
        <v>0.99448480560756292</v>
      </c>
      <c r="O19" s="10">
        <f>INDEX(Sheet1!$E$69:$AJ$150,MATCH($A19,Sheet1!$E$69:$E$150,0),MATCH(O$1,Sheet1!$E$69:$AJ$69,0))</f>
        <v>0.99423076167908364</v>
      </c>
      <c r="P19" s="10"/>
      <c r="Q19" s="10">
        <f>INDEX(Sheet1!$E$69:$AJ$150,MATCH($A19,Sheet1!$E$69:$E$150,0),MATCH(Q$1,Sheet1!$E$69:$AJ$69,0))</f>
        <v>0.9946326642796175</v>
      </c>
      <c r="R19" s="10">
        <f>INDEX(Sheet1!$E$69:$AJ$150,MATCH($A19,Sheet1!$E$69:$E$150,0),MATCH(R$1,Sheet1!$E$69:$AJ$69,0))</f>
        <v>0.99420510679678031</v>
      </c>
      <c r="S19" s="10">
        <f>INDEX(Sheet1!$E$69:$AJ$150,MATCH($A19,Sheet1!$E$69:$E$150,0),MATCH(S$1,Sheet1!$E$69:$AJ$69,0))</f>
        <v>0.98986231190630125</v>
      </c>
      <c r="T19" s="10">
        <f>INDEX(Sheet1!$E$69:$AJ$150,MATCH($A19,Sheet1!$E$69:$E$150,0),MATCH(T$1,Sheet1!$E$69:$AJ$69,0))</f>
        <v>0.99068285072524942</v>
      </c>
      <c r="U19" s="10"/>
      <c r="V19" s="10">
        <f>INDEX(Sheet1!$E$69:$AJ$150,MATCH($A19,Sheet1!$E$69:$E$150,0),MATCH(V$1,Sheet1!$E$69:$AJ$69,0))</f>
        <v>0.994997324515421</v>
      </c>
      <c r="W19" s="10">
        <f>INDEX(Sheet1!$E$69:$AJ$150,MATCH($A19,Sheet1!$E$69:$E$150,0),MATCH(W$1,Sheet1!$E$69:$AJ$69,0))</f>
        <v>0.9948767757036171</v>
      </c>
      <c r="X19" s="10">
        <f>INDEX(Sheet1!$E$69:$AJ$150,MATCH($A19,Sheet1!$E$69:$E$150,0),MATCH(X$1,Sheet1!$E$69:$AJ$69,0))</f>
        <v>0.98931675972328281</v>
      </c>
      <c r="Y19" s="10">
        <f>INDEX(Sheet1!$E$69:$AJ$150,MATCH($A19,Sheet1!$E$69:$E$150,0),MATCH(Y$1,Sheet1!$E$69:$AJ$69,0))</f>
        <v>0.99150765667602792</v>
      </c>
    </row>
    <row r="20" spans="1:25" x14ac:dyDescent="0.25">
      <c r="A20" t="str">
        <f t="shared" si="1"/>
        <v>T2D</v>
      </c>
      <c r="B20" s="7" t="s">
        <v>158</v>
      </c>
      <c r="C20" s="11" t="s">
        <v>151</v>
      </c>
      <c r="D20" s="11"/>
      <c r="F20" s="11" t="s">
        <v>152</v>
      </c>
      <c r="G20" s="10">
        <f>INDEX(Sheet1!$E$69:$AJ$150,MATCH($A20,Sheet1!$E$69:$E$150,0),MATCH(G$1,Sheet1!$E$69:$AJ$69,0))</f>
        <v>0.22770844963146997</v>
      </c>
      <c r="H20" s="10">
        <f>INDEX(Sheet1!$E$69:$AJ$150,MATCH($A20,Sheet1!$E$69:$E$150,0),MATCH(H$1,Sheet1!$E$69:$AJ$69,0))</f>
        <v>0.23144489069806215</v>
      </c>
      <c r="I20" s="10">
        <f>INDEX(Sheet1!$E$69:$AJ$150,MATCH($A20,Sheet1!$E$69:$E$150,0),MATCH(I$1,Sheet1!$E$69:$AJ$69,0))</f>
        <v>0.22738262341620935</v>
      </c>
      <c r="J20" s="10">
        <f>INDEX(Sheet1!$E$69:$AJ$150,MATCH($A20,Sheet1!$E$69:$E$150,0),MATCH(J$1,Sheet1!$E$69:$AJ$69,0))</f>
        <v>0.2373903214179435</v>
      </c>
      <c r="K20" s="10"/>
      <c r="L20" s="10">
        <f>INDEX(Sheet1!$E$69:$AJ$150,MATCH($A20,Sheet1!$E$69:$E$150,0),MATCH(L$1,Sheet1!$E$69:$AJ$69,0))</f>
        <v>0.24517177798534159</v>
      </c>
      <c r="M20" s="10">
        <f>INDEX(Sheet1!$E$69:$AJ$150,MATCH($A20,Sheet1!$E$69:$E$150,0),MATCH(M$1,Sheet1!$E$69:$AJ$69,0))</f>
        <v>0.24627884051966009</v>
      </c>
      <c r="N20" s="10">
        <f>INDEX(Sheet1!$E$69:$AJ$150,MATCH($A20,Sheet1!$E$69:$E$150,0),MATCH(N$1,Sheet1!$E$69:$AJ$69,0))</f>
        <v>0.23928525910189058</v>
      </c>
      <c r="O20" s="10">
        <f>INDEX(Sheet1!$E$69:$AJ$150,MATCH($A20,Sheet1!$E$69:$E$150,0),MATCH(O$1,Sheet1!$E$69:$AJ$69,0))</f>
        <v>0.2424154496080243</v>
      </c>
      <c r="P20" s="10"/>
      <c r="Q20" s="10">
        <f>INDEX(Sheet1!$E$69:$AJ$150,MATCH($A20,Sheet1!$E$69:$E$150,0),MATCH(Q$1,Sheet1!$E$69:$AJ$69,0))</f>
        <v>0.27571326808261826</v>
      </c>
      <c r="R20" s="10">
        <f>INDEX(Sheet1!$E$69:$AJ$150,MATCH($A20,Sheet1!$E$69:$E$150,0),MATCH(R$1,Sheet1!$E$69:$AJ$69,0))</f>
        <v>0.27136107855857405</v>
      </c>
      <c r="S20" s="10">
        <f>INDEX(Sheet1!$E$69:$AJ$150,MATCH($A20,Sheet1!$E$69:$E$150,0),MATCH(S$1,Sheet1!$E$69:$AJ$69,0))</f>
        <v>0.25619576380943332</v>
      </c>
      <c r="T20" s="10">
        <f>INDEX(Sheet1!$E$69:$AJ$150,MATCH($A20,Sheet1!$E$69:$E$150,0),MATCH(T$1,Sheet1!$E$69:$AJ$69,0))</f>
        <v>0.24464648454491827</v>
      </c>
      <c r="U20" s="10"/>
      <c r="V20" s="10">
        <f>INDEX(Sheet1!$E$69:$AJ$150,MATCH($A20,Sheet1!$E$69:$E$150,0),MATCH(V$1,Sheet1!$E$69:$AJ$69,0))</f>
        <v>0.27213754387408118</v>
      </c>
      <c r="W20" s="10">
        <f>INDEX(Sheet1!$E$69:$AJ$150,MATCH($A20,Sheet1!$E$69:$E$150,0),MATCH(W$1,Sheet1!$E$69:$AJ$69,0))</f>
        <v>0.26607197627372153</v>
      </c>
      <c r="X20" s="10">
        <f>INDEX(Sheet1!$E$69:$AJ$150,MATCH($A20,Sheet1!$E$69:$E$150,0),MATCH(X$1,Sheet1!$E$69:$AJ$69,0))</f>
        <v>0.24835805271668565</v>
      </c>
      <c r="Y20" s="10">
        <f>INDEX(Sheet1!$E$69:$AJ$150,MATCH($A20,Sheet1!$E$69:$E$150,0),MATCH(Y$1,Sheet1!$E$69:$AJ$69,0))</f>
        <v>0.23122184023242223</v>
      </c>
    </row>
    <row r="21" spans="1:25" x14ac:dyDescent="0.25">
      <c r="A21" t="str">
        <f t="shared" si="1"/>
        <v>T2G</v>
      </c>
      <c r="B21" s="7" t="s">
        <v>158</v>
      </c>
      <c r="C21" s="11" t="s">
        <v>153</v>
      </c>
      <c r="D21" s="11"/>
      <c r="F21" s="11" t="s">
        <v>154</v>
      </c>
      <c r="G21" s="10">
        <f>INDEX(Sheet1!$E$69:$AJ$150,MATCH($A21,Sheet1!$E$69:$E$150,0),MATCH(G$1,Sheet1!$E$69:$AJ$69,0))</f>
        <v>-0.88673237920359327</v>
      </c>
      <c r="H21" s="10">
        <f>INDEX(Sheet1!$E$69:$AJ$150,MATCH($A21,Sheet1!$E$69:$E$150,0),MATCH(H$1,Sheet1!$E$69:$AJ$69,0))</f>
        <v>-0.61038559141990367</v>
      </c>
      <c r="I21" s="10">
        <f>INDEX(Sheet1!$E$69:$AJ$150,MATCH($A21,Sheet1!$E$69:$E$150,0),MATCH(I$1,Sheet1!$E$69:$AJ$69,0))</f>
        <v>-0.41076866111846133</v>
      </c>
      <c r="J21" s="10">
        <f>INDEX(Sheet1!$E$69:$AJ$150,MATCH($A21,Sheet1!$E$69:$E$150,0),MATCH(J$1,Sheet1!$E$69:$AJ$69,0))</f>
        <v>0.44688109858401659</v>
      </c>
      <c r="K21" s="10"/>
      <c r="L21" s="10">
        <f>INDEX(Sheet1!$E$69:$AJ$150,MATCH($A21,Sheet1!$E$69:$E$150,0),MATCH(L$1,Sheet1!$E$69:$AJ$69,0))</f>
        <v>-0.98003092465913033</v>
      </c>
      <c r="M21" s="10">
        <f>INDEX(Sheet1!$E$69:$AJ$150,MATCH($A21,Sheet1!$E$69:$E$150,0),MATCH(M$1,Sheet1!$E$69:$AJ$69,0))</f>
        <v>-0.70514133896055764</v>
      </c>
      <c r="N21" s="10">
        <f>INDEX(Sheet1!$E$69:$AJ$150,MATCH($A21,Sheet1!$E$69:$E$150,0),MATCH(N$1,Sheet1!$E$69:$AJ$69,0))</f>
        <v>-0.34290154301359577</v>
      </c>
      <c r="O21" s="10">
        <f>INDEX(Sheet1!$E$69:$AJ$150,MATCH($A21,Sheet1!$E$69:$E$150,0),MATCH(O$1,Sheet1!$E$69:$AJ$69,0))</f>
        <v>0.39397756221882685</v>
      </c>
      <c r="P21" s="10"/>
      <c r="Q21" s="10">
        <f>INDEX(Sheet1!$E$69:$AJ$150,MATCH($A21,Sheet1!$E$69:$E$150,0),MATCH(Q$1,Sheet1!$E$69:$AJ$69,0))</f>
        <v>-1.3425091054016756</v>
      </c>
      <c r="R21" s="10">
        <f>INDEX(Sheet1!$E$69:$AJ$150,MATCH($A21,Sheet1!$E$69:$E$150,0),MATCH(R$1,Sheet1!$E$69:$AJ$69,0))</f>
        <v>-1.1281520505825013</v>
      </c>
      <c r="S21" s="10">
        <f>INDEX(Sheet1!$E$69:$AJ$150,MATCH($A21,Sheet1!$E$69:$E$150,0),MATCH(S$1,Sheet1!$E$69:$AJ$69,0))</f>
        <v>-0.68204464418850819</v>
      </c>
      <c r="T21" s="10">
        <f>INDEX(Sheet1!$E$69:$AJ$150,MATCH($A21,Sheet1!$E$69:$E$150,0),MATCH(T$1,Sheet1!$E$69:$AJ$69,0))</f>
        <v>-9.0644734990050768E-2</v>
      </c>
      <c r="U21" s="10"/>
      <c r="V21" s="10">
        <f>INDEX(Sheet1!$E$69:$AJ$150,MATCH($A21,Sheet1!$E$69:$E$150,0),MATCH(V$1,Sheet1!$E$69:$AJ$69,0))</f>
        <v>-1.5452161112439917</v>
      </c>
      <c r="W21" s="10">
        <f>INDEX(Sheet1!$E$69:$AJ$150,MATCH($A21,Sheet1!$E$69:$E$150,0),MATCH(W$1,Sheet1!$E$69:$AJ$69,0))</f>
        <v>-1.3779553079867233</v>
      </c>
      <c r="X21" s="10">
        <f>INDEX(Sheet1!$E$69:$AJ$150,MATCH($A21,Sheet1!$E$69:$E$150,0),MATCH(X$1,Sheet1!$E$69:$AJ$69,0))</f>
        <v>-0.8830724978758302</v>
      </c>
      <c r="Y21" s="10">
        <f>INDEX(Sheet1!$E$69:$AJ$150,MATCH($A21,Sheet1!$E$69:$E$150,0),MATCH(Y$1,Sheet1!$E$69:$AJ$69,0))</f>
        <v>-0.44655949493732106</v>
      </c>
    </row>
    <row r="22" spans="1:25" x14ac:dyDescent="0.25">
      <c r="A22" t="str">
        <f t="shared" si="1"/>
        <v>T2Weight</v>
      </c>
      <c r="B22" s="7" t="s">
        <v>158</v>
      </c>
      <c r="C22" s="11" t="s">
        <v>168</v>
      </c>
      <c r="D22" s="11"/>
      <c r="F22" s="13" t="s">
        <v>168</v>
      </c>
      <c r="G22" s="10">
        <f>INDEX(Sheet1!$E$69:$AJ$150,MATCH($A22,Sheet1!$E$69:$E$150,0),MATCH(G$1,Sheet1!$E$69:$AJ$69,0))</f>
        <v>-0.19969947062191312</v>
      </c>
      <c r="H22" s="10">
        <f>INDEX(Sheet1!$E$69:$AJ$150,MATCH($A22,Sheet1!$E$69:$E$150,0),MATCH(H$1,Sheet1!$E$69:$AJ$69,0))</f>
        <v>-0.13939837460647447</v>
      </c>
      <c r="I22" s="10">
        <f>INDEX(Sheet1!$E$69:$AJ$150,MATCH($A22,Sheet1!$E$69:$E$150,0),MATCH(I$1,Sheet1!$E$69:$AJ$69,0))</f>
        <v>-9.1825027915339169E-2</v>
      </c>
      <c r="J22" s="10">
        <f>INDEX(Sheet1!$E$69:$AJ$150,MATCH($A22,Sheet1!$E$69:$E$150,0),MATCH(J$1,Sheet1!$E$69:$AJ$69,0))</f>
        <v>0.10398999066782862</v>
      </c>
      <c r="K22" s="10"/>
      <c r="L22" s="10">
        <f>INDEX(Sheet1!$E$69:$AJ$150,MATCH($A22,Sheet1!$E$69:$E$150,0),MATCH(L$1,Sheet1!$E$69:$AJ$69,0))</f>
        <v>-0.2394931151012942</v>
      </c>
      <c r="M22" s="10">
        <f>INDEX(Sheet1!$E$69:$AJ$150,MATCH($A22,Sheet1!$E$69:$E$150,0),MATCH(M$1,Sheet1!$E$69:$AJ$69,0))</f>
        <v>-0.17301661832986051</v>
      </c>
      <c r="N22" s="10">
        <f>INDEX(Sheet1!$E$69:$AJ$150,MATCH($A22,Sheet1!$E$69:$E$150,0),MATCH(N$1,Sheet1!$E$69:$AJ$69,0))</f>
        <v>-8.159875578191321E-2</v>
      </c>
      <c r="O22" s="10">
        <f>INDEX(Sheet1!$E$69:$AJ$150,MATCH($A22,Sheet1!$E$69:$E$150,0),MATCH(O$1,Sheet1!$E$69:$AJ$69,0))</f>
        <v>9.495524957558972E-2</v>
      </c>
      <c r="P22" s="10"/>
      <c r="Q22" s="10">
        <f>INDEX(Sheet1!$E$69:$AJ$150,MATCH($A22,Sheet1!$E$69:$E$150,0),MATCH(Q$1,Sheet1!$E$69:$AJ$69,0))</f>
        <v>-0.36816086659123126</v>
      </c>
      <c r="R22" s="10">
        <f>INDEX(Sheet1!$E$69:$AJ$150,MATCH($A22,Sheet1!$E$69:$E$150,0),MATCH(R$1,Sheet1!$E$69:$AJ$69,0))</f>
        <v>-0.30436252856941937</v>
      </c>
      <c r="S22" s="10">
        <f>INDEX(Sheet1!$E$69:$AJ$150,MATCH($A22,Sheet1!$E$69:$E$150,0),MATCH(S$1,Sheet1!$E$69:$AJ$69,0))</f>
        <v>-0.1729655198869606</v>
      </c>
      <c r="T22" s="10">
        <f>INDEX(Sheet1!$E$69:$AJ$150,MATCH($A22,Sheet1!$E$69:$E$150,0),MATCH(T$1,Sheet1!$E$69:$AJ$69,0))</f>
        <v>-2.1969299440401751E-2</v>
      </c>
      <c r="U22" s="10"/>
      <c r="V22" s="10">
        <f>INDEX(Sheet1!$E$69:$AJ$150,MATCH($A22,Sheet1!$E$69:$E$150,0),MATCH(V$1,Sheet1!$E$69:$AJ$69,0))</f>
        <v>-0.4184076356107112</v>
      </c>
      <c r="W22" s="10">
        <f>INDEX(Sheet1!$E$69:$AJ$150,MATCH($A22,Sheet1!$E$69:$E$150,0),MATCH(W$1,Sheet1!$E$69:$AJ$69,0))</f>
        <v>-0.36475693717694019</v>
      </c>
      <c r="X22" s="10">
        <f>INDEX(Sheet1!$E$69:$AJ$150,MATCH($A22,Sheet1!$E$69:$E$150,0),MATCH(X$1,Sheet1!$E$69:$AJ$69,0))</f>
        <v>-0.21697513731588636</v>
      </c>
      <c r="Y22" s="10">
        <f>INDEX(Sheet1!$E$69:$AJ$150,MATCH($A22,Sheet1!$E$69:$E$150,0),MATCH(Y$1,Sheet1!$E$69:$AJ$69,0))</f>
        <v>-0.10237743715781705</v>
      </c>
    </row>
    <row r="23" spans="1:25" x14ac:dyDescent="0.25">
      <c r="A23" t="str">
        <f t="shared" si="1"/>
        <v>T2p</v>
      </c>
      <c r="B23" s="7" t="s">
        <v>158</v>
      </c>
      <c r="C23" s="11" t="s">
        <v>156</v>
      </c>
      <c r="D23" s="11"/>
      <c r="E23" s="14"/>
      <c r="F23" s="15" t="s">
        <v>156</v>
      </c>
      <c r="G23" s="16">
        <f>INDEX(Sheet1!$E$69:$AJ$150,MATCH($A23,Sheet1!$E$69:$E$150,0),MATCH(G$1,Sheet1!$E$69:$AJ$69,0))</f>
        <v>0.41267929920434032</v>
      </c>
      <c r="H23" s="16">
        <f>INDEX(Sheet1!$E$69:$AJ$150,MATCH($A23,Sheet1!$E$69:$E$150,0),MATCH(H$1,Sheet1!$E$69:$AJ$69,0))</f>
        <v>0.40304202316445575</v>
      </c>
      <c r="I23" s="16">
        <f>INDEX(Sheet1!$E$69:$AJ$150,MATCH($A23,Sheet1!$E$69:$E$150,0),MATCH(I$1,Sheet1!$E$69:$AJ$69,0))</f>
        <v>0.41351969173871567</v>
      </c>
      <c r="J23" s="16">
        <f>INDEX(Sheet1!$E$69:$AJ$150,MATCH($A23,Sheet1!$E$69:$E$150,0),MATCH(J$1,Sheet1!$E$69:$AJ$69,0))</f>
        <v>0.38770717484159334</v>
      </c>
      <c r="K23" s="10"/>
      <c r="L23" s="16">
        <f>INDEX(Sheet1!$E$69:$AJ$150,MATCH($A23,Sheet1!$E$69:$E$150,0),MATCH(L$1,Sheet1!$E$69:$AJ$69,0))</f>
        <v>0.40623531344064895</v>
      </c>
      <c r="M23" s="16">
        <f>INDEX(Sheet1!$E$69:$AJ$150,MATCH($A23,Sheet1!$E$69:$E$150,0),MATCH(M$1,Sheet1!$E$69:$AJ$69,0))</f>
        <v>0.40355419474055715</v>
      </c>
      <c r="N23" s="16">
        <f>INDEX(Sheet1!$E$69:$AJ$150,MATCH($A23,Sheet1!$E$69:$E$150,0),MATCH(N$1,Sheet1!$E$69:$AJ$69,0))</f>
        <v>0.42049146913882618</v>
      </c>
      <c r="O23" s="16">
        <f>INDEX(Sheet1!$E$69:$AJ$150,MATCH($A23,Sheet1!$E$69:$E$150,0),MATCH(O$1,Sheet1!$E$69:$AJ$69,0))</f>
        <v>0.41291067578643359</v>
      </c>
      <c r="P23" s="10"/>
      <c r="Q23" s="16">
        <f>INDEX(Sheet1!$E$69:$AJ$150,MATCH($A23,Sheet1!$E$69:$E$150,0),MATCH(Q$1,Sheet1!$E$69:$AJ$69,0))</f>
        <v>0.3540477562102502</v>
      </c>
      <c r="R23" s="16">
        <f>INDEX(Sheet1!$E$69:$AJ$150,MATCH($A23,Sheet1!$E$69:$E$150,0),MATCH(R$1,Sheet1!$E$69:$AJ$69,0))</f>
        <v>0.36424424261079646</v>
      </c>
      <c r="S23" s="16">
        <f>INDEX(Sheet1!$E$69:$AJ$150,MATCH($A23,Sheet1!$E$69:$E$150,0),MATCH(S$1,Sheet1!$E$69:$AJ$69,0))</f>
        <v>0.39977415801207411</v>
      </c>
      <c r="T23" s="16">
        <f>INDEX(Sheet1!$E$69:$AJ$150,MATCH($A23,Sheet1!$E$69:$E$150,0),MATCH(T$1,Sheet1!$E$69:$AJ$69,0))</f>
        <v>0.42683227859853956</v>
      </c>
      <c r="U23" s="10"/>
      <c r="V23" s="16">
        <f>INDEX(Sheet1!$E$69:$AJ$150,MATCH($A23,Sheet1!$E$69:$E$150,0),MATCH(V$1,Sheet1!$E$69:$AJ$69,0))</f>
        <v>0.25024075723180034</v>
      </c>
      <c r="W23" s="16">
        <f>INDEX(Sheet1!$E$69:$AJ$150,MATCH($A23,Sheet1!$E$69:$E$150,0),MATCH(W$1,Sheet1!$E$69:$AJ$69,0))</f>
        <v>0.26695184863897953</v>
      </c>
      <c r="X23" s="16">
        <f>INDEX(Sheet1!$E$69:$AJ$150,MATCH($A23,Sheet1!$E$69:$E$150,0),MATCH(X$1,Sheet1!$E$69:$AJ$69,0))</f>
        <v>0.3157550300137707</v>
      </c>
      <c r="Y23" s="16">
        <f>INDEX(Sheet1!$E$69:$AJ$150,MATCH($A23,Sheet1!$E$69:$E$150,0),MATCH(Y$1,Sheet1!$E$69:$AJ$69,0))</f>
        <v>0.36296657426898432</v>
      </c>
    </row>
    <row r="24" spans="1:25" x14ac:dyDescent="0.25">
      <c r="A24" t="str">
        <f t="shared" si="1"/>
        <v>T3lambda</v>
      </c>
      <c r="B24" s="7" t="s">
        <v>159</v>
      </c>
      <c r="C24" s="7" t="s">
        <v>144</v>
      </c>
      <c r="D24" s="7"/>
      <c r="E24" s="7" t="s">
        <v>159</v>
      </c>
      <c r="F24" s="7" t="s">
        <v>145</v>
      </c>
      <c r="G24" s="10">
        <f>INDEX(Sheet1!$E$69:$AJ$150,MATCH($A24,Sheet1!$E$69:$E$150,0),MATCH(G$1,Sheet1!$E$69:$AJ$69,0))</f>
        <v>1.4073747934131391</v>
      </c>
      <c r="H24" s="10">
        <f>INDEX(Sheet1!$E$69:$AJ$150,MATCH($A24,Sheet1!$E$69:$E$150,0),MATCH(H$1,Sheet1!$E$69:$AJ$69,0))</f>
        <v>1.0850207307886</v>
      </c>
      <c r="I24" s="10">
        <f>INDEX(Sheet1!$E$69:$AJ$150,MATCH($A24,Sheet1!$E$69:$E$150,0),MATCH(I$1,Sheet1!$E$69:$AJ$69,0))</f>
        <v>0.87124426744740269</v>
      </c>
      <c r="J24" s="10">
        <f>INDEX(Sheet1!$E$69:$AJ$150,MATCH($A24,Sheet1!$E$69:$E$150,0),MATCH(J$1,Sheet1!$E$69:$AJ$69,0))</f>
        <v>0</v>
      </c>
      <c r="K24" s="10"/>
      <c r="L24" s="10">
        <f>INDEX(Sheet1!$E$69:$AJ$150,MATCH($A24,Sheet1!$E$69:$E$150,0),MATCH(L$1,Sheet1!$E$69:$AJ$69,0))</f>
        <v>1.4713570172595314</v>
      </c>
      <c r="M24" s="10">
        <f>INDEX(Sheet1!$E$69:$AJ$150,MATCH($A24,Sheet1!$E$69:$E$150,0),MATCH(M$1,Sheet1!$E$69:$AJ$69,0))</f>
        <v>1.1359482627318507</v>
      </c>
      <c r="N24" s="10">
        <f>INDEX(Sheet1!$E$69:$AJ$150,MATCH($A24,Sheet1!$E$69:$E$150,0),MATCH(N$1,Sheet1!$E$69:$AJ$69,0))</f>
        <v>0.7455176293183321</v>
      </c>
      <c r="O24" s="10">
        <f>INDEX(Sheet1!$E$69:$AJ$150,MATCH($A24,Sheet1!$E$69:$E$150,0),MATCH(O$1,Sheet1!$E$69:$AJ$69,0))</f>
        <v>0</v>
      </c>
      <c r="P24" s="10"/>
      <c r="Q24" s="10">
        <f>INDEX(Sheet1!$E$69:$AJ$150,MATCH($A24,Sheet1!$E$69:$E$150,0),MATCH(Q$1,Sheet1!$E$69:$AJ$69,0))</f>
        <v>1.5353392411059235</v>
      </c>
      <c r="R24" s="10">
        <f>INDEX(Sheet1!$E$69:$AJ$150,MATCH($A24,Sheet1!$E$69:$E$150,0),MATCH(R$1,Sheet1!$E$69:$AJ$69,0))</f>
        <v>1.1868757946751014</v>
      </c>
      <c r="S24" s="10">
        <f>INDEX(Sheet1!$E$69:$AJ$150,MATCH($A24,Sheet1!$E$69:$E$150,0),MATCH(S$1,Sheet1!$E$69:$AJ$69,0))</f>
        <v>0.61979099118926162</v>
      </c>
      <c r="T24" s="10">
        <f>INDEX(Sheet1!$E$69:$AJ$150,MATCH($A24,Sheet1!$E$69:$E$150,0),MATCH(T$1,Sheet1!$E$69:$AJ$69,0))</f>
        <v>0</v>
      </c>
      <c r="U24" s="10"/>
      <c r="V24" s="10">
        <f>INDEX(Sheet1!$E$69:$AJ$150,MATCH($A24,Sheet1!$E$69:$E$150,0),MATCH(V$1,Sheet1!$E$69:$AJ$69,0))</f>
        <v>1.5993214649523155</v>
      </c>
      <c r="W24" s="10">
        <f>INDEX(Sheet1!$E$69:$AJ$150,MATCH($A24,Sheet1!$E$69:$E$150,0),MATCH(W$1,Sheet1!$E$69:$AJ$69,0))</f>
        <v>1.2378033266183519</v>
      </c>
      <c r="X24" s="10">
        <f>INDEX(Sheet1!$E$69:$AJ$150,MATCH($A24,Sheet1!$E$69:$E$150,0),MATCH(X$1,Sheet1!$E$69:$AJ$69,0))</f>
        <v>0.49406435306019114</v>
      </c>
      <c r="Y24" s="10">
        <f>INDEX(Sheet1!$E$69:$AJ$150,MATCH($A24,Sheet1!$E$69:$E$150,0),MATCH(Y$1,Sheet1!$E$69:$AJ$69,0))</f>
        <v>0</v>
      </c>
    </row>
    <row r="25" spans="1:25" x14ac:dyDescent="0.25">
      <c r="A25" t="str">
        <f t="shared" si="1"/>
        <v>T3e^lambda-1</v>
      </c>
      <c r="B25" s="7" t="s">
        <v>159</v>
      </c>
      <c r="C25" s="11" t="s">
        <v>146</v>
      </c>
      <c r="D25" s="11"/>
      <c r="F25" s="11" t="s">
        <v>147</v>
      </c>
      <c r="G25" s="10">
        <f>INDEX(Sheet1!$E$69:$AJ$150,MATCH($A25,Sheet1!$E$69:$E$150,0),MATCH(G$1,Sheet1!$E$69:$AJ$69,0))</f>
        <v>3.0852167766898786</v>
      </c>
      <c r="H25" s="10">
        <f>INDEX(Sheet1!$E$69:$AJ$150,MATCH($A25,Sheet1!$E$69:$E$150,0),MATCH(H$1,Sheet1!$E$69:$AJ$69,0))</f>
        <v>1.9595011708966852</v>
      </c>
      <c r="I25" s="10">
        <f>INDEX(Sheet1!$E$69:$AJ$150,MATCH($A25,Sheet1!$E$69:$E$150,0),MATCH(I$1,Sheet1!$E$69:$AJ$69,0))</f>
        <v>1.3898826574752148</v>
      </c>
      <c r="J25" s="10">
        <f>INDEX(Sheet1!$E$69:$AJ$150,MATCH($A25,Sheet1!$E$69:$E$150,0),MATCH(J$1,Sheet1!$E$69:$AJ$69,0))</f>
        <v>0</v>
      </c>
      <c r="K25" s="10"/>
      <c r="L25" s="10">
        <f>INDEX(Sheet1!$E$69:$AJ$150,MATCH($A25,Sheet1!$E$69:$E$150,0),MATCH(L$1,Sheet1!$E$69:$AJ$69,0))</f>
        <v>3.3551411345761677</v>
      </c>
      <c r="M25" s="10">
        <f>INDEX(Sheet1!$E$69:$AJ$150,MATCH($A25,Sheet1!$E$69:$E$150,0),MATCH(M$1,Sheet1!$E$69:$AJ$69,0))</f>
        <v>2.1141251520574884</v>
      </c>
      <c r="N25" s="10">
        <f>INDEX(Sheet1!$E$69:$AJ$150,MATCH($A25,Sheet1!$E$69:$E$150,0),MATCH(N$1,Sheet1!$E$69:$AJ$69,0))</f>
        <v>1.1075320730735969</v>
      </c>
      <c r="O25" s="10">
        <f>INDEX(Sheet1!$E$69:$AJ$150,MATCH($A25,Sheet1!$E$69:$E$150,0),MATCH(O$1,Sheet1!$E$69:$AJ$69,0))</f>
        <v>0</v>
      </c>
      <c r="P25" s="10"/>
      <c r="Q25" s="10">
        <f>INDEX(Sheet1!$E$69:$AJ$150,MATCH($A25,Sheet1!$E$69:$E$150,0),MATCH(Q$1,Sheet1!$E$69:$AJ$69,0))</f>
        <v>3.6429003254622749</v>
      </c>
      <c r="R25" s="10">
        <f>INDEX(Sheet1!$E$69:$AJ$150,MATCH($A25,Sheet1!$E$69:$E$150,0),MATCH(R$1,Sheet1!$E$69:$AJ$69,0))</f>
        <v>2.2768277161177108</v>
      </c>
      <c r="S25" s="10">
        <f>INDEX(Sheet1!$E$69:$AJ$150,MATCH($A25,Sheet1!$E$69:$E$150,0),MATCH(S$1,Sheet1!$E$69:$AJ$69,0))</f>
        <v>0.85853955010757987</v>
      </c>
      <c r="T25" s="10">
        <f>INDEX(Sheet1!$E$69:$AJ$150,MATCH($A25,Sheet1!$E$69:$E$150,0),MATCH(T$1,Sheet1!$E$69:$AJ$69,0))</f>
        <v>0</v>
      </c>
      <c r="U25" s="10"/>
      <c r="V25" s="10">
        <f>INDEX(Sheet1!$E$69:$AJ$150,MATCH($A25,Sheet1!$E$69:$E$150,0),MATCH(V$1,Sheet1!$E$69:$AJ$69,0))</f>
        <v>3.9496727582573588</v>
      </c>
      <c r="W25" s="10">
        <f>INDEX(Sheet1!$E$69:$AJ$150,MATCH($A25,Sheet1!$E$69:$E$150,0),MATCH(W$1,Sheet1!$E$69:$AJ$69,0))</f>
        <v>2.4480309418595225</v>
      </c>
      <c r="X25" s="10">
        <f>INDEX(Sheet1!$E$69:$AJ$150,MATCH($A25,Sheet1!$E$69:$E$150,0),MATCH(X$1,Sheet1!$E$69:$AJ$69,0))</f>
        <v>0.63896402975095468</v>
      </c>
      <c r="Y25" s="10">
        <f>INDEX(Sheet1!$E$69:$AJ$150,MATCH($A25,Sheet1!$E$69:$E$150,0),MATCH(Y$1,Sheet1!$E$69:$AJ$69,0))</f>
        <v>0</v>
      </c>
    </row>
    <row r="26" spans="1:25" x14ac:dyDescent="0.25">
      <c r="A26" t="str">
        <f t="shared" si="1"/>
        <v>T3R</v>
      </c>
      <c r="B26" s="7" t="s">
        <v>159</v>
      </c>
      <c r="C26" s="11" t="s">
        <v>149</v>
      </c>
      <c r="D26" s="11"/>
      <c r="F26" s="11" t="s">
        <v>150</v>
      </c>
      <c r="G26" s="10">
        <f>INDEX(Sheet1!$E$69:$AJ$150,MATCH($A26,Sheet1!$E$69:$E$150,0),MATCH(G$1,Sheet1!$E$69:$AJ$69,0))</f>
        <v>0.98902028722128255</v>
      </c>
      <c r="H26" s="10">
        <f>INDEX(Sheet1!$E$69:$AJ$150,MATCH($A26,Sheet1!$E$69:$E$150,0),MATCH(H$1,Sheet1!$E$69:$AJ$69,0))</f>
        <v>0.98674705471408342</v>
      </c>
      <c r="I26" s="10">
        <f>INDEX(Sheet1!$E$69:$AJ$150,MATCH($A26,Sheet1!$E$69:$E$150,0),MATCH(I$1,Sheet1!$E$69:$AJ$69,0))</f>
        <v>0.9831199152334561</v>
      </c>
      <c r="J26" s="10">
        <f>INDEX(Sheet1!$E$69:$AJ$150,MATCH($A26,Sheet1!$E$69:$E$150,0),MATCH(J$1,Sheet1!$E$69:$AJ$69,0))</f>
        <v>0.98024930885797723</v>
      </c>
      <c r="K26" s="10"/>
      <c r="L26" s="10">
        <f>INDEX(Sheet1!$E$69:$AJ$150,MATCH($A26,Sheet1!$E$69:$E$150,0),MATCH(L$1,Sheet1!$E$69:$AJ$69,0))</f>
        <v>0.9967420407169334</v>
      </c>
      <c r="M26" s="10">
        <f>INDEX(Sheet1!$E$69:$AJ$150,MATCH($A26,Sheet1!$E$69:$E$150,0),MATCH(M$1,Sheet1!$E$69:$AJ$69,0))</f>
        <v>0.99628718262147642</v>
      </c>
      <c r="N26" s="10">
        <f>INDEX(Sheet1!$E$69:$AJ$150,MATCH($A26,Sheet1!$E$69:$E$150,0),MATCH(N$1,Sheet1!$E$69:$AJ$69,0))</f>
        <v>0.99448480560756292</v>
      </c>
      <c r="O26" s="10">
        <f>INDEX(Sheet1!$E$69:$AJ$150,MATCH($A26,Sheet1!$E$69:$E$150,0),MATCH(O$1,Sheet1!$E$69:$AJ$69,0))</f>
        <v>0.99423076167908364</v>
      </c>
      <c r="P26" s="10"/>
      <c r="Q26" s="10">
        <f>INDEX(Sheet1!$E$69:$AJ$150,MATCH($A26,Sheet1!$E$69:$E$150,0),MATCH(Q$1,Sheet1!$E$69:$AJ$69,0))</f>
        <v>0.9946326642796175</v>
      </c>
      <c r="R26" s="10">
        <f>INDEX(Sheet1!$E$69:$AJ$150,MATCH($A26,Sheet1!$E$69:$E$150,0),MATCH(R$1,Sheet1!$E$69:$AJ$69,0))</f>
        <v>0.99420510679678031</v>
      </c>
      <c r="S26" s="10">
        <f>INDEX(Sheet1!$E$69:$AJ$150,MATCH($A26,Sheet1!$E$69:$E$150,0),MATCH(S$1,Sheet1!$E$69:$AJ$69,0))</f>
        <v>0.98986231190630125</v>
      </c>
      <c r="T26" s="10">
        <f>INDEX(Sheet1!$E$69:$AJ$150,MATCH($A26,Sheet1!$E$69:$E$150,0),MATCH(T$1,Sheet1!$E$69:$AJ$69,0))</f>
        <v>0.99068285072524942</v>
      </c>
      <c r="U26" s="10"/>
      <c r="V26" s="10">
        <f>INDEX(Sheet1!$E$69:$AJ$150,MATCH($A26,Sheet1!$E$69:$E$150,0),MATCH(V$1,Sheet1!$E$69:$AJ$69,0))</f>
        <v>0.994997324515421</v>
      </c>
      <c r="W26" s="10">
        <f>INDEX(Sheet1!$E$69:$AJ$150,MATCH($A26,Sheet1!$E$69:$E$150,0),MATCH(W$1,Sheet1!$E$69:$AJ$69,0))</f>
        <v>0.9948767757036171</v>
      </c>
      <c r="X26" s="10">
        <f>INDEX(Sheet1!$E$69:$AJ$150,MATCH($A26,Sheet1!$E$69:$E$150,0),MATCH(X$1,Sheet1!$E$69:$AJ$69,0))</f>
        <v>0.98931675972328281</v>
      </c>
      <c r="Y26" s="10">
        <f>INDEX(Sheet1!$E$69:$AJ$150,MATCH($A26,Sheet1!$E$69:$E$150,0),MATCH(Y$1,Sheet1!$E$69:$AJ$69,0))</f>
        <v>0.99150765667602792</v>
      </c>
    </row>
    <row r="27" spans="1:25" x14ac:dyDescent="0.25">
      <c r="A27" t="str">
        <f t="shared" si="1"/>
        <v>T3D</v>
      </c>
      <c r="B27" s="7" t="s">
        <v>159</v>
      </c>
      <c r="C27" s="11" t="s">
        <v>151</v>
      </c>
      <c r="D27" s="11"/>
      <c r="F27" s="11" t="s">
        <v>152</v>
      </c>
      <c r="G27" s="10">
        <f>INDEX(Sheet1!$E$69:$AJ$150,MATCH($A27,Sheet1!$E$69:$E$150,0),MATCH(G$1,Sheet1!$E$69:$AJ$69,0))</f>
        <v>0.13697217401225795</v>
      </c>
      <c r="H27" s="10">
        <f>INDEX(Sheet1!$E$69:$AJ$150,MATCH($A27,Sheet1!$E$69:$E$150,0),MATCH(H$1,Sheet1!$E$69:$AJ$69,0))</f>
        <v>0.14512354732190133</v>
      </c>
      <c r="I27" s="10">
        <f>INDEX(Sheet1!$E$69:$AJ$150,MATCH($A27,Sheet1!$E$69:$E$150,0),MATCH(I$1,Sheet1!$E$69:$AJ$69,0))</f>
        <v>0.15370731017218969</v>
      </c>
      <c r="J27" s="10">
        <f>INDEX(Sheet1!$E$69:$AJ$150,MATCH($A27,Sheet1!$E$69:$E$150,0),MATCH(J$1,Sheet1!$E$69:$AJ$69,0))</f>
        <v>0.18122015921609572</v>
      </c>
      <c r="K27" s="10"/>
      <c r="L27" s="10">
        <f>INDEX(Sheet1!$E$69:$AJ$150,MATCH($A27,Sheet1!$E$69:$E$150,0),MATCH(L$1,Sheet1!$E$69:$AJ$69,0))</f>
        <v>0.13144687873488486</v>
      </c>
      <c r="M27" s="10">
        <f>INDEX(Sheet1!$E$69:$AJ$150,MATCH($A27,Sheet1!$E$69:$E$150,0),MATCH(M$1,Sheet1!$E$69:$AJ$69,0))</f>
        <v>0.1406379961688036</v>
      </c>
      <c r="N27" s="10">
        <f>INDEX(Sheet1!$E$69:$AJ$150,MATCH($A27,Sheet1!$E$69:$E$150,0),MATCH(N$1,Sheet1!$E$69:$AJ$69,0))</f>
        <v>0.15570866013344398</v>
      </c>
      <c r="O27" s="10">
        <f>INDEX(Sheet1!$E$69:$AJ$150,MATCH($A27,Sheet1!$E$69:$E$150,0),MATCH(O$1,Sheet1!$E$69:$AJ$69,0))</f>
        <v>0.18015590026003403</v>
      </c>
      <c r="P27" s="10"/>
      <c r="Q27" s="10">
        <f>INDEX(Sheet1!$E$69:$AJ$150,MATCH($A27,Sheet1!$E$69:$E$150,0),MATCH(Q$1,Sheet1!$E$69:$AJ$69,0))</f>
        <v>0.13787066879872187</v>
      </c>
      <c r="R27" s="10">
        <f>INDEX(Sheet1!$E$69:$AJ$150,MATCH($A27,Sheet1!$E$69:$E$150,0),MATCH(R$1,Sheet1!$E$69:$AJ$69,0))</f>
        <v>0.15062950588114188</v>
      </c>
      <c r="S27" s="10">
        <f>INDEX(Sheet1!$E$69:$AJ$150,MATCH($A27,Sheet1!$E$69:$E$150,0),MATCH(S$1,Sheet1!$E$69:$AJ$69,0))</f>
        <v>0.17900712479198161</v>
      </c>
      <c r="T27" s="10">
        <f>INDEX(Sheet1!$E$69:$AJ$150,MATCH($A27,Sheet1!$E$69:$E$150,0),MATCH(T$1,Sheet1!$E$69:$AJ$69,0))</f>
        <v>0.20982882516205964</v>
      </c>
      <c r="U27" s="10"/>
      <c r="V27" s="10">
        <f>INDEX(Sheet1!$E$69:$AJ$150,MATCH($A27,Sheet1!$E$69:$E$150,0),MATCH(V$1,Sheet1!$E$69:$AJ$69,0))</f>
        <v>0.13071685429611071</v>
      </c>
      <c r="W27" s="10">
        <f>INDEX(Sheet1!$E$69:$AJ$150,MATCH($A27,Sheet1!$E$69:$E$150,0),MATCH(W$1,Sheet1!$E$69:$AJ$69,0))</f>
        <v>0.14843109074181152</v>
      </c>
      <c r="X27" s="10">
        <f>INDEX(Sheet1!$E$69:$AJ$150,MATCH($A27,Sheet1!$E$69:$E$150,0),MATCH(X$1,Sheet1!$E$69:$AJ$69,0))</f>
        <v>0.19747406791583738</v>
      </c>
      <c r="Y27" s="10">
        <f>INDEX(Sheet1!$E$69:$AJ$150,MATCH($A27,Sheet1!$E$69:$E$150,0),MATCH(Y$1,Sheet1!$E$69:$AJ$69,0))</f>
        <v>0.23781957650448207</v>
      </c>
    </row>
    <row r="28" spans="1:25" x14ac:dyDescent="0.25">
      <c r="A28" t="str">
        <f t="shared" si="1"/>
        <v>T3G</v>
      </c>
      <c r="B28" s="7" t="s">
        <v>159</v>
      </c>
      <c r="C28" s="11" t="s">
        <v>153</v>
      </c>
      <c r="D28" s="11"/>
      <c r="F28" s="11" t="s">
        <v>154</v>
      </c>
      <c r="G28" s="10">
        <f>INDEX(Sheet1!$E$69:$AJ$150,MATCH($A28,Sheet1!$E$69:$E$150,0),MATCH(G$1,Sheet1!$E$69:$AJ$69,0))</f>
        <v>2.5674353994850891</v>
      </c>
      <c r="H28" s="10">
        <f>INDEX(Sheet1!$E$69:$AJ$150,MATCH($A28,Sheet1!$E$69:$E$150,0),MATCH(H$1,Sheet1!$E$69:$AJ$69,0))</f>
        <v>2.6794759216099351</v>
      </c>
      <c r="I28" s="10">
        <f>INDEX(Sheet1!$E$69:$AJ$150,MATCH($A28,Sheet1!$E$69:$E$150,0),MATCH(I$1,Sheet1!$E$69:$AJ$69,0))</f>
        <v>2.7208085362798284</v>
      </c>
      <c r="J28" s="10">
        <f>INDEX(Sheet1!$E$69:$AJ$150,MATCH($A28,Sheet1!$E$69:$E$150,0),MATCH(J$1,Sheet1!$E$69:$AJ$69,0))</f>
        <v>2.9827417744187796</v>
      </c>
      <c r="K28" s="10"/>
      <c r="L28" s="10">
        <f>INDEX(Sheet1!$E$69:$AJ$150,MATCH($A28,Sheet1!$E$69:$E$150,0),MATCH(L$1,Sheet1!$E$69:$AJ$69,0))</f>
        <v>2.5430213386045959</v>
      </c>
      <c r="M28" s="10">
        <f>INDEX(Sheet1!$E$69:$AJ$150,MATCH($A28,Sheet1!$E$69:$E$150,0),MATCH(M$1,Sheet1!$E$69:$AJ$69,0))</f>
        <v>2.6472267961275291</v>
      </c>
      <c r="N28" s="10">
        <f>INDEX(Sheet1!$E$69:$AJ$150,MATCH($A28,Sheet1!$E$69:$E$150,0),MATCH(N$1,Sheet1!$E$69:$AJ$69,0))</f>
        <v>2.7268774292057305</v>
      </c>
      <c r="O28" s="10">
        <f>INDEX(Sheet1!$E$69:$AJ$150,MATCH($A28,Sheet1!$E$69:$E$150,0),MATCH(O$1,Sheet1!$E$69:$AJ$69,0))</f>
        <v>2.9194784884276519</v>
      </c>
      <c r="P28" s="10"/>
      <c r="Q28" s="10">
        <f>INDEX(Sheet1!$E$69:$AJ$150,MATCH($A28,Sheet1!$E$69:$E$150,0),MATCH(Q$1,Sheet1!$E$69:$AJ$69,0))</f>
        <v>2.4614134483406644</v>
      </c>
      <c r="R28" s="10">
        <f>INDEX(Sheet1!$E$69:$AJ$150,MATCH($A28,Sheet1!$E$69:$E$150,0),MATCH(R$1,Sheet1!$E$69:$AJ$69,0))</f>
        <v>2.5511793997287304</v>
      </c>
      <c r="S28" s="10">
        <f>INDEX(Sheet1!$E$69:$AJ$150,MATCH($A28,Sheet1!$E$69:$E$150,0),MATCH(S$1,Sheet1!$E$69:$AJ$69,0))</f>
        <v>2.6619375962023586</v>
      </c>
      <c r="T28" s="10">
        <f>INDEX(Sheet1!$E$69:$AJ$150,MATCH($A28,Sheet1!$E$69:$E$150,0),MATCH(T$1,Sheet1!$E$69:$AJ$69,0))</f>
        <v>2.7812234938344877</v>
      </c>
      <c r="U28" s="10"/>
      <c r="V28" s="10">
        <f>INDEX(Sheet1!$E$69:$AJ$150,MATCH($A28,Sheet1!$E$69:$E$150,0),MATCH(V$1,Sheet1!$E$69:$AJ$69,0))</f>
        <v>2.5081867369081507</v>
      </c>
      <c r="W28" s="10">
        <f>INDEX(Sheet1!$E$69:$AJ$150,MATCH($A28,Sheet1!$E$69:$E$150,0),MATCH(W$1,Sheet1!$E$69:$AJ$69,0))</f>
        <v>2.5984904538327882</v>
      </c>
      <c r="X28" s="10">
        <f>INDEX(Sheet1!$E$69:$AJ$150,MATCH($A28,Sheet1!$E$69:$E$150,0),MATCH(X$1,Sheet1!$E$69:$AJ$69,0))</f>
        <v>2.7539708242612324</v>
      </c>
      <c r="Y28" s="10">
        <f>INDEX(Sheet1!$E$69:$AJ$150,MATCH($A28,Sheet1!$E$69:$E$150,0),MATCH(Y$1,Sheet1!$E$69:$AJ$69,0))</f>
        <v>2.8106572281133229</v>
      </c>
    </row>
    <row r="29" spans="1:25" x14ac:dyDescent="0.25">
      <c r="A29" t="str">
        <f t="shared" si="1"/>
        <v>T3Weight</v>
      </c>
      <c r="B29" s="7" t="s">
        <v>159</v>
      </c>
      <c r="C29" s="11" t="s">
        <v>168</v>
      </c>
      <c r="D29" s="11"/>
      <c r="F29" s="13" t="s">
        <v>168</v>
      </c>
      <c r="G29" s="10">
        <f>INDEX(Sheet1!$E$69:$AJ$150,MATCH($A29,Sheet1!$E$69:$E$150,0),MATCH(G$1,Sheet1!$E$69:$AJ$69,0))</f>
        <v>0.34780600336263678</v>
      </c>
      <c r="H29" s="10">
        <f>INDEX(Sheet1!$E$69:$AJ$150,MATCH($A29,Sheet1!$E$69:$E$150,0),MATCH(H$1,Sheet1!$E$69:$AJ$69,0))</f>
        <v>0.38370157599647375</v>
      </c>
      <c r="I29" s="10">
        <f>INDEX(Sheet1!$E$69:$AJ$150,MATCH($A29,Sheet1!$E$69:$E$150,0),MATCH(I$1,Sheet1!$E$69:$AJ$69,0))</f>
        <v>0.41114877238715031</v>
      </c>
      <c r="J29" s="10">
        <f>INDEX(Sheet1!$E$69:$AJ$150,MATCH($A29,Sheet1!$E$69:$E$150,0),MATCH(J$1,Sheet1!$E$69:$AJ$69,0))</f>
        <v>0.52985704012524382</v>
      </c>
      <c r="K29" s="10"/>
      <c r="L29" s="10">
        <f>INDEX(Sheet1!$E$69:$AJ$150,MATCH($A29,Sheet1!$E$69:$E$150,0),MATCH(L$1,Sheet1!$E$69:$AJ$69,0))</f>
        <v>0.33318317224165611</v>
      </c>
      <c r="M29" s="10">
        <f>INDEX(Sheet1!$E$69:$AJ$150,MATCH($A29,Sheet1!$E$69:$E$150,0),MATCH(M$1,Sheet1!$E$69:$AJ$69,0))</f>
        <v>0.37091838760665652</v>
      </c>
      <c r="N29" s="10">
        <f>INDEX(Sheet1!$E$69:$AJ$150,MATCH($A29,Sheet1!$E$69:$E$150,0),MATCH(N$1,Sheet1!$E$69:$AJ$69,0))</f>
        <v>0.42225668796489435</v>
      </c>
      <c r="O29" s="10">
        <f>INDEX(Sheet1!$E$69:$AJ$150,MATCH($A29,Sheet1!$E$69:$E$150,0),MATCH(O$1,Sheet1!$E$69:$AJ$69,0))</f>
        <v>0.52292687942728999</v>
      </c>
      <c r="P29" s="10"/>
      <c r="Q29" s="10">
        <f>INDEX(Sheet1!$E$69:$AJ$150,MATCH($A29,Sheet1!$E$69:$E$150,0),MATCH(Q$1,Sheet1!$E$69:$AJ$69,0))</f>
        <v>0.33753527687674306</v>
      </c>
      <c r="R29" s="10">
        <f>INDEX(Sheet1!$E$69:$AJ$150,MATCH($A29,Sheet1!$E$69:$E$150,0),MATCH(R$1,Sheet1!$E$69:$AJ$69,0))</f>
        <v>0.38205601407403172</v>
      </c>
      <c r="S29" s="10">
        <f>INDEX(Sheet1!$E$69:$AJ$150,MATCH($A29,Sheet1!$E$69:$E$150,0),MATCH(S$1,Sheet1!$E$69:$AJ$69,0))</f>
        <v>0.47167512834252956</v>
      </c>
      <c r="T29" s="10">
        <f>INDEX(Sheet1!$E$69:$AJ$150,MATCH($A29,Sheet1!$E$69:$E$150,0),MATCH(T$1,Sheet1!$E$69:$AJ$69,0))</f>
        <v>0.57814354825444558</v>
      </c>
      <c r="U29" s="10"/>
      <c r="V29" s="10">
        <f>INDEX(Sheet1!$E$69:$AJ$150,MATCH($A29,Sheet1!$E$69:$E$150,0),MATCH(V$1,Sheet1!$E$69:$AJ$69,0))</f>
        <v>0.32622209164420601</v>
      </c>
      <c r="W29" s="10">
        <f>INDEX(Sheet1!$E$69:$AJ$150,MATCH($A29,Sheet1!$E$69:$E$150,0),MATCH(W$1,Sheet1!$E$69:$AJ$69,0))</f>
        <v>0.38372076126947335</v>
      </c>
      <c r="X29" s="10">
        <f>INDEX(Sheet1!$E$69:$AJ$150,MATCH($A29,Sheet1!$E$69:$E$150,0),MATCH(X$1,Sheet1!$E$69:$AJ$69,0))</f>
        <v>0.53802787146880204</v>
      </c>
      <c r="Y29" s="10">
        <f>INDEX(Sheet1!$E$69:$AJ$150,MATCH($A29,Sheet1!$E$69:$E$150,0),MATCH(Y$1,Sheet1!$E$69:$AJ$69,0))</f>
        <v>0.6627527804865011</v>
      </c>
    </row>
    <row r="30" spans="1:25" x14ac:dyDescent="0.25">
      <c r="A30" t="str">
        <f t="shared" si="1"/>
        <v>T3p</v>
      </c>
      <c r="B30" s="7" t="s">
        <v>159</v>
      </c>
      <c r="C30" s="11" t="s">
        <v>156</v>
      </c>
      <c r="D30" s="11"/>
      <c r="E30" s="8"/>
      <c r="F30" s="9" t="s">
        <v>156</v>
      </c>
      <c r="G30" s="17">
        <f>INDEX(Sheet1!$E$69:$AJ$150,MATCH($A30,Sheet1!$E$69:$E$150,0),MATCH(G$1,Sheet1!$E$69:$AJ$69,0))</f>
        <v>0.42385942099084412</v>
      </c>
      <c r="H30" s="17">
        <f>INDEX(Sheet1!$E$69:$AJ$150,MATCH($A30,Sheet1!$E$69:$E$150,0),MATCH(H$1,Sheet1!$E$69:$AJ$69,0))</f>
        <v>0.38957262535367032</v>
      </c>
      <c r="I30" s="17">
        <f>INDEX(Sheet1!$E$69:$AJ$150,MATCH($A30,Sheet1!$E$69:$E$150,0),MATCH(I$1,Sheet1!$E$69:$AJ$69,0))</f>
        <v>0.35346708687984979</v>
      </c>
      <c r="J30" s="17">
        <f>INDEX(Sheet1!$E$69:$AJ$150,MATCH($A30,Sheet1!$E$69:$E$150,0),MATCH(J$1,Sheet1!$E$69:$AJ$69,0))</f>
        <v>0.23774088998872833</v>
      </c>
      <c r="K30" s="10"/>
      <c r="L30" s="17">
        <f>INDEX(Sheet1!$E$69:$AJ$150,MATCH($A30,Sheet1!$E$69:$E$150,0),MATCH(L$1,Sheet1!$E$69:$AJ$69,0))</f>
        <v>0.44235928197935043</v>
      </c>
      <c r="M30" s="17">
        <f>INDEX(Sheet1!$E$69:$AJ$150,MATCH($A30,Sheet1!$E$69:$E$150,0),MATCH(M$1,Sheet1!$E$69:$AJ$69,0))</f>
        <v>0.40336755106423428</v>
      </c>
      <c r="N30" s="17">
        <f>INDEX(Sheet1!$E$69:$AJ$150,MATCH($A30,Sheet1!$E$69:$E$150,0),MATCH(N$1,Sheet1!$E$69:$AJ$69,0))</f>
        <v>0.33943285778604654</v>
      </c>
      <c r="O30" s="17">
        <f>INDEX(Sheet1!$E$69:$AJ$150,MATCH($A30,Sheet1!$E$69:$E$150,0),MATCH(O$1,Sheet1!$E$69:$AJ$69,0))</f>
        <v>0.23571965691719338</v>
      </c>
      <c r="P30" s="10"/>
      <c r="Q30" s="17">
        <f>INDEX(Sheet1!$E$69:$AJ$150,MATCH($A30,Sheet1!$E$69:$E$150,0),MATCH(Q$1,Sheet1!$E$69:$AJ$69,0))</f>
        <v>0.53977531413047042</v>
      </c>
      <c r="R30" s="17">
        <f>INDEX(Sheet1!$E$69:$AJ$150,MATCH($A30,Sheet1!$E$69:$E$150,0),MATCH(R$1,Sheet1!$E$69:$AJ$69,0))</f>
        <v>0.4971851690366671</v>
      </c>
      <c r="S30" s="17">
        <f>INDEX(Sheet1!$E$69:$AJ$150,MATCH($A30,Sheet1!$E$69:$E$150,0),MATCH(S$1,Sheet1!$E$69:$AJ$69,0))</f>
        <v>0.40245812620181354</v>
      </c>
      <c r="T30" s="17">
        <f>INDEX(Sheet1!$E$69:$AJ$150,MATCH($A30,Sheet1!$E$69:$E$150,0),MATCH(T$1,Sheet1!$E$69:$AJ$69,0))</f>
        <v>0.29957251975355187</v>
      </c>
      <c r="U30" s="10"/>
      <c r="V30" s="17">
        <f>INDEX(Sheet1!$E$69:$AJ$150,MATCH($A30,Sheet1!$E$69:$E$150,0),MATCH(V$1,Sheet1!$E$69:$AJ$69,0))</f>
        <v>0.66451463675397915</v>
      </c>
      <c r="W30" s="17">
        <f>INDEX(Sheet1!$E$69:$AJ$150,MATCH($A30,Sheet1!$E$69:$E$150,0),MATCH(W$1,Sheet1!$E$69:$AJ$69,0))</f>
        <v>0.61905097347495353</v>
      </c>
      <c r="X30" s="17">
        <f>INDEX(Sheet1!$E$69:$AJ$150,MATCH($A30,Sheet1!$E$69:$E$150,0),MATCH(X$1,Sheet1!$E$69:$AJ$69,0))</f>
        <v>0.49318196369429268</v>
      </c>
      <c r="Y30" s="17">
        <f>INDEX(Sheet1!$E$69:$AJ$150,MATCH($A30,Sheet1!$E$69:$E$150,0),MATCH(Y$1,Sheet1!$E$69:$AJ$69,0))</f>
        <v>0.38963504407866634</v>
      </c>
    </row>
    <row r="31" spans="1:25" x14ac:dyDescent="0.25">
      <c r="A31" t="str">
        <f t="shared" si="1"/>
        <v>Expected</v>
      </c>
      <c r="C31" s="11" t="s">
        <v>160</v>
      </c>
      <c r="E31" s="7" t="s">
        <v>161</v>
      </c>
      <c r="F31" s="13" t="s">
        <v>162</v>
      </c>
      <c r="G31" s="10">
        <f>INDEX(Sheet1!$E$69:$AJ$150,MATCH($A31,Sheet1!$E$69:$E$150,0),MATCH(G$1,Sheet1!$E$69:$AJ$69,0))</f>
        <v>14.508602309622702</v>
      </c>
      <c r="H31" s="10">
        <f>INDEX(Sheet1!$E$69:$AJ$150,MATCH($A31,Sheet1!$E$69:$E$150,0),MATCH(H$1,Sheet1!$E$69:$AJ$69,0))</f>
        <v>14.328137127857385</v>
      </c>
      <c r="I31" s="10">
        <f>INDEX(Sheet1!$E$69:$AJ$150,MATCH($A31,Sheet1!$E$69:$E$150,0),MATCH(I$1,Sheet1!$E$69:$AJ$69,0))</f>
        <v>14.167485347389865</v>
      </c>
      <c r="J31" s="10">
        <f>INDEX(Sheet1!$E$69:$AJ$150,MATCH($A31,Sheet1!$E$69:$E$150,0),MATCH(J$1,Sheet1!$E$69:$AJ$69,0))</f>
        <v>13.633028679324358</v>
      </c>
      <c r="K31" s="10"/>
      <c r="L31" s="10">
        <f>INDEX(Sheet1!$E$69:$AJ$150,MATCH($A31,Sheet1!$E$69:$E$150,0),MATCH(L$1,Sheet1!$E$69:$AJ$69,0))</f>
        <v>14.57773985454757</v>
      </c>
      <c r="M31" s="10">
        <f>INDEX(Sheet1!$E$69:$AJ$150,MATCH($A31,Sheet1!$E$69:$E$150,0),MATCH(M$1,Sheet1!$E$69:$AJ$69,0))</f>
        <v>14.411599966673617</v>
      </c>
      <c r="N31" s="10">
        <f>INDEX(Sheet1!$E$69:$AJ$150,MATCH($A31,Sheet1!$E$69:$E$150,0),MATCH(N$1,Sheet1!$E$69:$AJ$69,0))</f>
        <v>14.171363150905171</v>
      </c>
      <c r="O31" s="10">
        <f>INDEX(Sheet1!$E$69:$AJ$150,MATCH($A31,Sheet1!$E$69:$E$150,0),MATCH(O$1,Sheet1!$E$69:$AJ$69,0))</f>
        <v>13.741188212580447</v>
      </c>
      <c r="P31" s="10"/>
      <c r="Q31" s="10">
        <f>INDEX(Sheet1!$E$69:$AJ$150,MATCH($A31,Sheet1!$E$69:$E$150,0),MATCH(Q$1,Sheet1!$E$69:$AJ$69,0))</f>
        <v>14.858879887470037</v>
      </c>
      <c r="R31" s="10">
        <f>INDEX(Sheet1!$E$69:$AJ$150,MATCH($A31,Sheet1!$E$69:$E$150,0),MATCH(R$1,Sheet1!$E$69:$AJ$69,0))</f>
        <v>14.704235974085762</v>
      </c>
      <c r="S31" s="10">
        <f>INDEX(Sheet1!$E$69:$AJ$150,MATCH($A31,Sheet1!$E$69:$E$150,0),MATCH(S$1,Sheet1!$E$69:$AJ$69,0))</f>
        <v>14.350103598339814</v>
      </c>
      <c r="T31" s="10">
        <f>INDEX(Sheet1!$E$69:$AJ$150,MATCH($A31,Sheet1!$E$69:$E$150,0),MATCH(T$1,Sheet1!$E$69:$AJ$69,0))</f>
        <v>14.004884820736438</v>
      </c>
      <c r="U31" s="10"/>
      <c r="V31" s="10">
        <f>INDEX(Sheet1!$E$69:$AJ$150,MATCH($A31,Sheet1!$E$69:$E$150,0),MATCH(V$1,Sheet1!$E$69:$AJ$69,0))</f>
        <v>15.149222143283314</v>
      </c>
      <c r="W31" s="10">
        <f>INDEX(Sheet1!$E$69:$AJ$150,MATCH($A31,Sheet1!$E$69:$E$150,0),MATCH(W$1,Sheet1!$E$69:$AJ$69,0))</f>
        <v>14.999565229786072</v>
      </c>
      <c r="X31" s="10">
        <f>INDEX(Sheet1!$E$69:$AJ$150,MATCH($A31,Sheet1!$E$69:$E$150,0),MATCH(X$1,Sheet1!$E$69:$AJ$69,0))</f>
        <v>14.532088186822961</v>
      </c>
      <c r="Y31" s="10">
        <f>INDEX(Sheet1!$E$69:$AJ$150,MATCH($A31,Sheet1!$E$69:$E$150,0),MATCH(Y$1,Sheet1!$E$69:$AJ$69,0))</f>
        <v>14.239595763091614</v>
      </c>
    </row>
    <row r="32" spans="1:25" x14ac:dyDescent="0.25">
      <c r="A32" t="str">
        <f t="shared" si="1"/>
        <v>D(L)</v>
      </c>
      <c r="C32" s="11" t="s">
        <v>163</v>
      </c>
      <c r="E32" s="9" t="s">
        <v>163</v>
      </c>
      <c r="F32" s="18" t="s">
        <v>164</v>
      </c>
      <c r="G32" s="17">
        <f>INDEX(Sheet1!$E$69:$AJ$150,MATCH($A32,Sheet1!$E$69:$E$150,0),MATCH(G$1,Sheet1!$E$69:$AJ$69,0))</f>
        <v>0.87557363029834767</v>
      </c>
      <c r="H32" s="17">
        <f>INDEX(Sheet1!$E$69:$AJ$150,MATCH($A32,Sheet1!$E$69:$E$150,0),MATCH(H$1,Sheet1!$E$69:$AJ$69,0))</f>
        <v>0.69510844853302756</v>
      </c>
      <c r="I32" s="17">
        <f>INDEX(Sheet1!$E$69:$AJ$150,MATCH($A32,Sheet1!$E$69:$E$150,0),MATCH(I$1,Sheet1!$E$69:$AJ$69,0))</f>
        <v>0.5344566680655054</v>
      </c>
      <c r="J32" s="17">
        <f>INDEX(Sheet1!$E$69:$AJ$150,MATCH($A32,Sheet1!$E$69:$E$150,0),MATCH(J$1,Sheet1!$E$69:$AJ$69,0))</f>
        <v>0</v>
      </c>
      <c r="K32" s="17"/>
      <c r="L32" s="17">
        <f>INDEX(Sheet1!$E$69:$AJ$150,MATCH($A32,Sheet1!$E$69:$E$150,0),MATCH(L$1,Sheet1!$E$69:$AJ$69,0))</f>
        <v>0.83655164196712051</v>
      </c>
      <c r="M32" s="17">
        <f>INDEX(Sheet1!$E$69:$AJ$150,MATCH($A32,Sheet1!$E$69:$E$150,0),MATCH(M$1,Sheet1!$E$69:$AJ$69,0))</f>
        <v>0.67041175409316878</v>
      </c>
      <c r="N32" s="17">
        <f>INDEX(Sheet1!$E$69:$AJ$150,MATCH($A32,Sheet1!$E$69:$E$150,0),MATCH(N$1,Sheet1!$E$69:$AJ$69,0))</f>
        <v>0.43017493832472375</v>
      </c>
      <c r="O32" s="17">
        <f>INDEX(Sheet1!$E$69:$AJ$150,MATCH($A32,Sheet1!$E$69:$E$150,0),MATCH(O$1,Sheet1!$E$69:$AJ$69,0))</f>
        <v>0</v>
      </c>
      <c r="P32" s="17"/>
      <c r="Q32" s="17">
        <f>INDEX(Sheet1!$E$69:$AJ$150,MATCH($A32,Sheet1!$E$69:$E$150,0),MATCH(Q$1,Sheet1!$E$69:$AJ$69,0))</f>
        <v>0.85399506673359549</v>
      </c>
      <c r="R32" s="17">
        <f>INDEX(Sheet1!$E$69:$AJ$150,MATCH($A32,Sheet1!$E$69:$E$150,0),MATCH(R$1,Sheet1!$E$69:$AJ$69,0))</f>
        <v>0.69935115334932507</v>
      </c>
      <c r="S32" s="17">
        <f>INDEX(Sheet1!$E$69:$AJ$150,MATCH($A32,Sheet1!$E$69:$E$150,0),MATCH(S$1,Sheet1!$E$69:$AJ$69,0))</f>
        <v>0.34521877760337399</v>
      </c>
      <c r="T32" s="17">
        <f>INDEX(Sheet1!$E$69:$AJ$150,MATCH($A32,Sheet1!$E$69:$E$150,0),MATCH(T$1,Sheet1!$E$69:$AJ$69,0))</f>
        <v>0</v>
      </c>
      <c r="U32" s="17"/>
      <c r="V32" s="17">
        <f>INDEX(Sheet1!$E$69:$AJ$150,MATCH($A32,Sheet1!$E$69:$E$150,0),MATCH(V$1,Sheet1!$E$69:$AJ$69,0))</f>
        <v>0.90962638019170128</v>
      </c>
      <c r="W32" s="17">
        <f>INDEX(Sheet1!$E$69:$AJ$150,MATCH($A32,Sheet1!$E$69:$E$150,0),MATCH(W$1,Sheet1!$E$69:$AJ$69,0))</f>
        <v>0.7599694666944623</v>
      </c>
      <c r="X32" s="17">
        <f>INDEX(Sheet1!$E$69:$AJ$150,MATCH($A32,Sheet1!$E$69:$E$150,0),MATCH(X$1,Sheet1!$E$69:$AJ$69,0))</f>
        <v>0.29249242373134721</v>
      </c>
      <c r="Y32" s="17">
        <f>INDEX(Sheet1!$E$69:$AJ$150,MATCH($A32,Sheet1!$E$69:$E$150,0),MATCH(Y$1,Sheet1!$E$69:$AJ$69,0))</f>
        <v>0</v>
      </c>
    </row>
    <row r="40" spans="7:16" x14ac:dyDescent="0.25">
      <c r="G40" s="7" t="s">
        <v>168</v>
      </c>
      <c r="H40" s="7" t="s">
        <v>175</v>
      </c>
      <c r="I40" s="7" t="s">
        <v>176</v>
      </c>
      <c r="J40" s="7" t="s">
        <v>177</v>
      </c>
      <c r="K40" s="7" t="s">
        <v>174</v>
      </c>
      <c r="L40" s="7" t="s">
        <v>169</v>
      </c>
      <c r="M40" s="7" t="s">
        <v>170</v>
      </c>
      <c r="N40" s="7" t="s">
        <v>171</v>
      </c>
      <c r="O40" s="7" t="s">
        <v>172</v>
      </c>
      <c r="P40" s="7" t="s">
        <v>173</v>
      </c>
    </row>
    <row r="41" spans="7:16" x14ac:dyDescent="0.25">
      <c r="G41" s="10">
        <f>G15</f>
        <v>1.1093131625702045E-2</v>
      </c>
      <c r="H41" s="10">
        <f>G11</f>
        <v>8.1021073359397118</v>
      </c>
    </row>
    <row r="42" spans="7:16" x14ac:dyDescent="0.25">
      <c r="G42" s="10">
        <f>L15</f>
        <v>3.8420031092371303E-3</v>
      </c>
      <c r="H42" s="10">
        <f>L11</f>
        <v>6.7655500249351341</v>
      </c>
    </row>
    <row r="43" spans="7:16" x14ac:dyDescent="0.25">
      <c r="G43" s="10">
        <f>Q15</f>
        <v>7.66696350895444E-3</v>
      </c>
      <c r="H43" s="10">
        <f>Q11</f>
        <v>5.6252533577208403</v>
      </c>
    </row>
    <row r="44" spans="7:16" x14ac:dyDescent="0.25">
      <c r="G44" s="10">
        <f>V15</f>
        <v>8.5831678415283757E-3</v>
      </c>
      <c r="H44" s="10">
        <f>V11</f>
        <v>4.6523983379217144</v>
      </c>
    </row>
    <row r="45" spans="7:16" x14ac:dyDescent="0.25">
      <c r="G45" s="10">
        <f>G22</f>
        <v>-0.19969947062191312</v>
      </c>
      <c r="I45" s="10">
        <f>G18</f>
        <v>1.4389674070629641</v>
      </c>
    </row>
    <row r="46" spans="7:16" x14ac:dyDescent="0.25">
      <c r="G46" s="10">
        <f>L22</f>
        <v>-0.2394931151012942</v>
      </c>
      <c r="I46" s="10">
        <f>L18</f>
        <v>1.2832026034274735</v>
      </c>
    </row>
    <row r="47" spans="7:16" x14ac:dyDescent="0.25">
      <c r="G47" s="10">
        <f>Q22</f>
        <v>-0.36816086659123126</v>
      </c>
      <c r="I47" s="10">
        <f>Q18</f>
        <v>1.1373857285676365</v>
      </c>
    </row>
    <row r="48" spans="7:16" x14ac:dyDescent="0.25">
      <c r="G48" s="10">
        <f>V22</f>
        <v>-0.4184076356107112</v>
      </c>
      <c r="I48" s="10">
        <f>V18</f>
        <v>1.0008814573996361</v>
      </c>
    </row>
    <row r="49" spans="7:22" x14ac:dyDescent="0.25">
      <c r="G49" s="10">
        <f>G29</f>
        <v>0.34780600336263678</v>
      </c>
      <c r="J49" s="10">
        <f>G25</f>
        <v>3.0852167766898786</v>
      </c>
    </row>
    <row r="50" spans="7:22" x14ac:dyDescent="0.25">
      <c r="G50" s="10">
        <f>L29</f>
        <v>0.33318317224165611</v>
      </c>
      <c r="J50" s="10">
        <f>L25</f>
        <v>3.3551411345761677</v>
      </c>
    </row>
    <row r="51" spans="7:22" x14ac:dyDescent="0.25">
      <c r="G51" s="10">
        <f>Q29</f>
        <v>0.33753527687674306</v>
      </c>
      <c r="J51" s="10">
        <f>Q25</f>
        <v>3.6429003254622749</v>
      </c>
    </row>
    <row r="52" spans="7:22" x14ac:dyDescent="0.25">
      <c r="G52" s="10">
        <f>V29</f>
        <v>0.32622209164420601</v>
      </c>
      <c r="J52" s="10">
        <f>V25</f>
        <v>3.9496727582573588</v>
      </c>
    </row>
    <row r="53" spans="7:22" x14ac:dyDescent="0.25">
      <c r="G53" s="10">
        <f>H15</f>
        <v>3.3409369245558901E-2</v>
      </c>
      <c r="K53" s="10">
        <f>H11</f>
        <v>1.9625376487364088</v>
      </c>
      <c r="L53" s="10"/>
      <c r="Q53" s="10"/>
      <c r="V53" s="10"/>
    </row>
    <row r="54" spans="7:22" x14ac:dyDescent="0.25">
      <c r="G54" s="10">
        <f>M15</f>
        <v>8.3900572417244471E-3</v>
      </c>
      <c r="K54" s="10">
        <f>M11</f>
        <v>2.4974139319508724</v>
      </c>
    </row>
    <row r="55" spans="7:22" x14ac:dyDescent="0.25">
      <c r="G55" s="10">
        <f>R15</f>
        <v>1.2123207450231849E-2</v>
      </c>
      <c r="K55" s="10">
        <f>R11</f>
        <v>3.1288603426259431</v>
      </c>
    </row>
    <row r="56" spans="7:22" x14ac:dyDescent="0.25">
      <c r="G56" s="10">
        <f>W15</f>
        <v>9.8218172868532704E-3</v>
      </c>
      <c r="K56" s="10">
        <f>W11</f>
        <v>3.8743122949133024</v>
      </c>
    </row>
    <row r="57" spans="7:22" x14ac:dyDescent="0.25">
      <c r="G57" s="10">
        <f>H22</f>
        <v>-0.13939837460647447</v>
      </c>
      <c r="L57" s="10">
        <f>H18</f>
        <v>0.87750222495227304</v>
      </c>
    </row>
    <row r="58" spans="7:22" x14ac:dyDescent="0.25">
      <c r="G58" s="10">
        <f>M22</f>
        <v>-0.17301661832986051</v>
      </c>
      <c r="L58" s="10">
        <f>M18</f>
        <v>0.77859332619247579</v>
      </c>
    </row>
    <row r="59" spans="7:22" x14ac:dyDescent="0.25">
      <c r="G59" s="10">
        <f>R22</f>
        <v>-0.30436252856941937</v>
      </c>
      <c r="L59" s="10">
        <f>R18</f>
        <v>0.68489505787767002</v>
      </c>
    </row>
    <row r="60" spans="7:22" x14ac:dyDescent="0.25">
      <c r="G60" s="10">
        <f>W22</f>
        <v>-0.36475693717694019</v>
      </c>
      <c r="L60" s="10">
        <f>W18</f>
        <v>0.59613291821909153</v>
      </c>
    </row>
    <row r="61" spans="7:22" x14ac:dyDescent="0.25">
      <c r="G61" s="10">
        <f>H29</f>
        <v>0.38370157599647375</v>
      </c>
      <c r="M61" s="10">
        <f>H26</f>
        <v>0.98674705471408342</v>
      </c>
    </row>
    <row r="62" spans="7:22" x14ac:dyDescent="0.25">
      <c r="G62" s="10">
        <f>M29</f>
        <v>0.37091838760665652</v>
      </c>
      <c r="M62" s="10">
        <f>M25</f>
        <v>2.1141251520574884</v>
      </c>
    </row>
    <row r="63" spans="7:22" x14ac:dyDescent="0.25">
      <c r="G63" s="10">
        <f>R29</f>
        <v>0.38205601407403172</v>
      </c>
      <c r="M63" s="10">
        <f>R25</f>
        <v>2.2768277161177108</v>
      </c>
    </row>
    <row r="64" spans="7:22" x14ac:dyDescent="0.25">
      <c r="G64" s="10">
        <f>W29</f>
        <v>0.38372076126947335</v>
      </c>
      <c r="M64" s="10">
        <f>W25</f>
        <v>2.4480309418595225</v>
      </c>
    </row>
    <row r="65" spans="7:16" x14ac:dyDescent="0.25">
      <c r="G65" s="10">
        <f>I15</f>
        <v>6.8439277976806323E-2</v>
      </c>
      <c r="N65" s="10">
        <f>I11</f>
        <v>0.41806627059861801</v>
      </c>
    </row>
    <row r="66" spans="7:16" x14ac:dyDescent="0.25">
      <c r="G66" s="10">
        <f>N15</f>
        <v>2.6068763691503311E-2</v>
      </c>
      <c r="N66" s="10">
        <f>N11</f>
        <v>9.7133915818938155E-2</v>
      </c>
    </row>
    <row r="67" spans="7:16" x14ac:dyDescent="0.25">
      <c r="G67" s="10">
        <f>S15</f>
        <v>5.6784795649167462E-2</v>
      </c>
      <c r="N67" s="10">
        <f>S11</f>
        <v>-0.15116602503205367</v>
      </c>
    </row>
    <row r="68" spans="7:16" x14ac:dyDescent="0.25">
      <c r="G68" s="10">
        <f>X15</f>
        <v>6.949614130097552E-2</v>
      </c>
      <c r="N68" s="10">
        <f>X11</f>
        <v>-0.34327149432613768</v>
      </c>
    </row>
    <row r="69" spans="7:16" x14ac:dyDescent="0.25">
      <c r="G69" s="10">
        <f>I22</f>
        <v>-9.1825027915339169E-2</v>
      </c>
      <c r="O69" s="10">
        <f>I18</f>
        <v>0.71444611031679206</v>
      </c>
    </row>
    <row r="70" spans="7:16" x14ac:dyDescent="0.25">
      <c r="G70" s="10">
        <f>N22</f>
        <v>-8.159875578191321E-2</v>
      </c>
      <c r="O70" s="10">
        <f>N18</f>
        <v>0.49044924007299029</v>
      </c>
    </row>
    <row r="71" spans="7:16" x14ac:dyDescent="0.25">
      <c r="G71" s="10">
        <f>S22</f>
        <v>-0.1729655198869606</v>
      </c>
      <c r="O71" s="10">
        <f>S18</f>
        <v>0.29571814702515264</v>
      </c>
    </row>
    <row r="72" spans="7:16" x14ac:dyDescent="0.25">
      <c r="G72" s="10">
        <f>X22</f>
        <v>-0.21697513731588636</v>
      </c>
      <c r="O72" s="10">
        <f>X18</f>
        <v>0.12642918080730925</v>
      </c>
    </row>
    <row r="73" spans="7:16" x14ac:dyDescent="0.25">
      <c r="G73" s="10">
        <f>I29</f>
        <v>0.41114877238715031</v>
      </c>
      <c r="P73" s="10">
        <f>I25</f>
        <v>1.3898826574752148</v>
      </c>
    </row>
    <row r="74" spans="7:16" x14ac:dyDescent="0.25">
      <c r="G74" s="10">
        <f>N29</f>
        <v>0.42225668796489435</v>
      </c>
      <c r="P74" s="10">
        <f>N25</f>
        <v>1.1075320730735969</v>
      </c>
    </row>
    <row r="75" spans="7:16" x14ac:dyDescent="0.25">
      <c r="G75" s="10">
        <f>S29</f>
        <v>0.47167512834252956</v>
      </c>
      <c r="P75" s="10">
        <f>S25</f>
        <v>0.85853955010757987</v>
      </c>
    </row>
    <row r="76" spans="7:16" x14ac:dyDescent="0.25">
      <c r="G76" s="10">
        <f>X29</f>
        <v>0.53802787146880204</v>
      </c>
      <c r="P76" s="10">
        <f>X25</f>
        <v>0.63896402975095468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table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真一 濱本</cp:lastModifiedBy>
  <dcterms:modified xsi:type="dcterms:W3CDTF">2026-04-27T06:25:21Z</dcterms:modified>
</cp:coreProperties>
</file>