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81a82ac62a8fe2/デスクトップ/研究Ongo/MareBuis/"/>
    </mc:Choice>
  </mc:AlternateContent>
  <xr:revisionPtr revIDLastSave="814" documentId="11_1147F767884006CC70C5DF64F5012D16E1073E97" xr6:coauthVersionLast="47" xr6:coauthVersionMax="47" xr10:uidLastSave="{DAF20130-894F-4A64-A178-50D73E83D1F4}"/>
  <bookViews>
    <workbookView xWindow="-120" yWindow="-120" windowWidth="29040" windowHeight="15720" activeTab="1" xr2:uid="{00000000-000D-0000-FFFF-FFFF00000000}"/>
  </bookViews>
  <sheets>
    <sheet name="Sheet1" sheetId="1" r:id="rId1"/>
    <sheet name="table" sheetId="3" r:id="rId2"/>
    <sheet name="decomp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3" l="1" a="1"/>
  <c r="H5" i="3" s="1"/>
  <c r="J103" i="1"/>
  <c r="L29" i="3" l="1"/>
  <c r="L28" i="3"/>
  <c r="L27" i="3"/>
  <c r="L26" i="3"/>
  <c r="U5" i="3" a="1"/>
  <c r="U5" i="3" s="1"/>
  <c r="S5" i="3" a="1"/>
  <c r="S5" i="3" s="1"/>
  <c r="O5" i="3" a="1"/>
  <c r="O5" i="3" s="1"/>
  <c r="Q5" i="3" a="1"/>
  <c r="Q5" i="3" s="1"/>
  <c r="D47" i="3" a="1"/>
  <c r="D47" i="3" s="1"/>
  <c r="D26" i="3" a="1"/>
  <c r="D26" i="3" s="1"/>
  <c r="M5" i="3" a="1"/>
  <c r="M5" i="3" s="1"/>
  <c r="K5" i="3" a="1"/>
  <c r="K5" i="3" s="1"/>
  <c r="E5" i="3" a="1"/>
  <c r="E5" i="3" s="1"/>
  <c r="D5" i="3" a="1"/>
  <c r="D5" i="3" s="1"/>
  <c r="E111" i="1" l="1"/>
  <c r="T12" i="2"/>
  <c r="S12" i="2"/>
  <c r="R12" i="2"/>
  <c r="J12" i="2"/>
  <c r="I12" i="2"/>
  <c r="H12" i="2"/>
  <c r="E113" i="1"/>
  <c r="E112" i="1"/>
  <c r="E108" i="1"/>
  <c r="E106" i="1"/>
  <c r="E105" i="1"/>
  <c r="E104" i="1"/>
  <c r="E103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Q12" i="2" s="1"/>
  <c r="A11" i="2"/>
  <c r="A10" i="2"/>
  <c r="Q10" i="2" s="1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I47" i="1" a="1"/>
  <c r="I47" i="1" s="1"/>
  <c r="I26" i="1" a="1"/>
  <c r="I26" i="1" s="1"/>
  <c r="AJ24" i="1"/>
  <c r="AI24" i="1"/>
  <c r="AH24" i="1"/>
  <c r="AG24" i="1"/>
  <c r="AF24" i="1"/>
  <c r="AE24" i="1"/>
  <c r="AC24" i="1"/>
  <c r="AB24" i="1"/>
  <c r="AA24" i="1"/>
  <c r="Z24" i="1"/>
  <c r="Y24" i="1"/>
  <c r="X24" i="1"/>
  <c r="V24" i="1"/>
  <c r="U24" i="1"/>
  <c r="T24" i="1"/>
  <c r="S24" i="1"/>
  <c r="R24" i="1"/>
  <c r="Q24" i="1"/>
  <c r="O24" i="1"/>
  <c r="N24" i="1"/>
  <c r="M24" i="1"/>
  <c r="L24" i="1"/>
  <c r="K24" i="1"/>
  <c r="J24" i="1"/>
  <c r="AJ23" i="1"/>
  <c r="AI23" i="1"/>
  <c r="AH23" i="1"/>
  <c r="AG23" i="1"/>
  <c r="AF23" i="1"/>
  <c r="AE23" i="1"/>
  <c r="AC23" i="1"/>
  <c r="AB23" i="1"/>
  <c r="AA23" i="1"/>
  <c r="Z23" i="1"/>
  <c r="Y23" i="1"/>
  <c r="X23" i="1"/>
  <c r="V23" i="1"/>
  <c r="U23" i="1"/>
  <c r="T23" i="1"/>
  <c r="S23" i="1"/>
  <c r="R23" i="1"/>
  <c r="Q23" i="1"/>
  <c r="O23" i="1"/>
  <c r="N23" i="1"/>
  <c r="M23" i="1"/>
  <c r="L23" i="1"/>
  <c r="K23" i="1"/>
  <c r="J23" i="1"/>
  <c r="AJ22" i="1"/>
  <c r="AI22" i="1"/>
  <c r="AH22" i="1"/>
  <c r="AG22" i="1"/>
  <c r="AF22" i="1"/>
  <c r="AE22" i="1"/>
  <c r="AC22" i="1"/>
  <c r="AB22" i="1"/>
  <c r="AA22" i="1"/>
  <c r="Z22" i="1"/>
  <c r="Y22" i="1"/>
  <c r="X22" i="1"/>
  <c r="V22" i="1"/>
  <c r="U22" i="1"/>
  <c r="T22" i="1"/>
  <c r="S22" i="1"/>
  <c r="R22" i="1"/>
  <c r="Q22" i="1"/>
  <c r="O22" i="1"/>
  <c r="N22" i="1"/>
  <c r="M22" i="1"/>
  <c r="L22" i="1"/>
  <c r="K22" i="1"/>
  <c r="J22" i="1"/>
  <c r="AJ21" i="1"/>
  <c r="AI21" i="1"/>
  <c r="AH21" i="1"/>
  <c r="AG21" i="1"/>
  <c r="AF21" i="1"/>
  <c r="AE21" i="1"/>
  <c r="AC21" i="1"/>
  <c r="AB21" i="1"/>
  <c r="AA21" i="1"/>
  <c r="Z21" i="1"/>
  <c r="Y21" i="1"/>
  <c r="X21" i="1"/>
  <c r="V21" i="1"/>
  <c r="U21" i="1"/>
  <c r="T21" i="1"/>
  <c r="S21" i="1"/>
  <c r="R21" i="1"/>
  <c r="Q21" i="1"/>
  <c r="O21" i="1"/>
  <c r="N21" i="1"/>
  <c r="M21" i="1"/>
  <c r="L21" i="1"/>
  <c r="K21" i="1"/>
  <c r="J21" i="1"/>
  <c r="AJ20" i="1"/>
  <c r="AI20" i="1"/>
  <c r="AI73" i="1" s="1"/>
  <c r="AI87" i="1" s="1"/>
  <c r="AH20" i="1"/>
  <c r="AH73" i="1" s="1"/>
  <c r="AH87" i="1" s="1"/>
  <c r="T11" i="2" s="1"/>
  <c r="AG20" i="1"/>
  <c r="AG73" i="1" s="1"/>
  <c r="AG87" i="1" s="1"/>
  <c r="AF20" i="1"/>
  <c r="AF73" i="1" s="1"/>
  <c r="AF87" i="1" s="1"/>
  <c r="J11" i="2" s="1"/>
  <c r="AE20" i="1"/>
  <c r="AE73" i="1" s="1"/>
  <c r="AE87" i="1" s="1"/>
  <c r="AC20" i="1"/>
  <c r="AC73" i="1" s="1"/>
  <c r="AB20" i="1"/>
  <c r="AB73" i="1" s="1"/>
  <c r="X10" i="2" s="1"/>
  <c r="AA20" i="1"/>
  <c r="AA73" i="1" s="1"/>
  <c r="Z20" i="1"/>
  <c r="Z73" i="1" s="1"/>
  <c r="Y20" i="1"/>
  <c r="Y73" i="1" s="1"/>
  <c r="X20" i="1"/>
  <c r="X73" i="1" s="1"/>
  <c r="V20" i="1"/>
  <c r="U20" i="1"/>
  <c r="U73" i="1" s="1"/>
  <c r="T20" i="1"/>
  <c r="T73" i="1" s="1"/>
  <c r="S20" i="1"/>
  <c r="S73" i="1" s="1"/>
  <c r="M10" i="2" s="1"/>
  <c r="R20" i="1"/>
  <c r="R73" i="1" s="1"/>
  <c r="Q20" i="1"/>
  <c r="Q73" i="1" s="1"/>
  <c r="O20" i="1"/>
  <c r="O72" i="1" s="1"/>
  <c r="O74" i="1" s="1"/>
  <c r="N20" i="1"/>
  <c r="N73" i="1" s="1"/>
  <c r="M20" i="1"/>
  <c r="M73" i="1" s="1"/>
  <c r="L20" i="1"/>
  <c r="L73" i="1" s="1"/>
  <c r="K20" i="1"/>
  <c r="J20" i="1"/>
  <c r="J73" i="1" s="1"/>
  <c r="AE9" i="1" a="1"/>
  <c r="AI72" i="1" s="1"/>
  <c r="AI74" i="1" s="1"/>
  <c r="X9" i="1" a="1"/>
  <c r="Q9" i="1" a="1"/>
  <c r="Q9" i="1" s="1"/>
  <c r="J9" i="1" a="1"/>
  <c r="Y10" i="2" l="1"/>
  <c r="N10" i="2"/>
  <c r="W10" i="2"/>
  <c r="O10" i="2"/>
  <c r="V10" i="2"/>
  <c r="L10" i="2"/>
  <c r="L12" i="2"/>
  <c r="V12" i="2"/>
  <c r="T10" i="2"/>
  <c r="J10" i="2"/>
  <c r="M12" i="2"/>
  <c r="W12" i="2"/>
  <c r="S10" i="2"/>
  <c r="I10" i="2"/>
  <c r="N12" i="2"/>
  <c r="X12" i="2"/>
  <c r="R10" i="2"/>
  <c r="H10" i="2"/>
  <c r="O11" i="2"/>
  <c r="Y11" i="2"/>
  <c r="O12" i="2"/>
  <c r="Y12" i="2"/>
  <c r="Y16" i="2"/>
  <c r="G12" i="2"/>
  <c r="K73" i="1"/>
  <c r="G10" i="2" s="1"/>
  <c r="AA72" i="1"/>
  <c r="AA74" i="1" s="1"/>
  <c r="S16" i="2" s="1"/>
  <c r="Z72" i="1"/>
  <c r="Z74" i="1" s="1"/>
  <c r="N16" i="2" s="1"/>
  <c r="X87" i="1" a="1"/>
  <c r="O73" i="1"/>
  <c r="N72" i="1"/>
  <c r="N74" i="1" s="1"/>
  <c r="V16" i="2" s="1"/>
  <c r="J9" i="1"/>
  <c r="M72" i="1"/>
  <c r="M74" i="1" s="1"/>
  <c r="Q16" i="2" s="1"/>
  <c r="L72" i="1"/>
  <c r="L74" i="1" s="1"/>
  <c r="L16" i="2" s="1"/>
  <c r="Q47" i="1" a="1"/>
  <c r="R72" i="1"/>
  <c r="R74" i="1" s="1"/>
  <c r="H16" i="2" s="1"/>
  <c r="U72" i="1"/>
  <c r="U74" i="1" s="1"/>
  <c r="W16" i="2" s="1"/>
  <c r="K72" i="1"/>
  <c r="K74" i="1" s="1"/>
  <c r="G16" i="2" s="1"/>
  <c r="AC72" i="1"/>
  <c r="AC74" i="1" s="1"/>
  <c r="Q26" i="1" a="1"/>
  <c r="X9" i="1"/>
  <c r="AH72" i="1"/>
  <c r="AH74" i="1" s="1"/>
  <c r="T16" i="2" s="1"/>
  <c r="V73" i="1"/>
  <c r="Q87" i="1" s="1" a="1"/>
  <c r="V72" i="1"/>
  <c r="V74" i="1" s="1"/>
  <c r="AB72" i="1"/>
  <c r="AB74" i="1" s="1"/>
  <c r="X16" i="2" s="1"/>
  <c r="AG72" i="1"/>
  <c r="AG74" i="1" s="1"/>
  <c r="O16" i="2" s="1"/>
  <c r="AF72" i="1"/>
  <c r="AF74" i="1" s="1"/>
  <c r="J16" i="2" s="1"/>
  <c r="AE9" i="1"/>
  <c r="S72" i="1"/>
  <c r="S74" i="1" s="1"/>
  <c r="M16" i="2" s="1"/>
  <c r="Q72" i="1"/>
  <c r="Q74" i="1" s="1"/>
  <c r="AJ73" i="1"/>
  <c r="AJ87" i="1" s="1"/>
  <c r="AJ72" i="1"/>
  <c r="AJ74" i="1" s="1"/>
  <c r="T72" i="1"/>
  <c r="T74" i="1" s="1"/>
  <c r="R16" i="2" s="1"/>
  <c r="Y72" i="1"/>
  <c r="Y74" i="1" s="1"/>
  <c r="I16" i="2" s="1"/>
  <c r="X87" i="1" l="1"/>
  <c r="I11" i="2"/>
  <c r="N65" i="2" s="1"/>
  <c r="S11" i="2"/>
  <c r="N67" i="2" s="1"/>
  <c r="R11" i="2"/>
  <c r="K55" i="2" s="1"/>
  <c r="H11" i="2"/>
  <c r="K53" i="2" s="1"/>
  <c r="X11" i="2"/>
  <c r="N68" i="2" s="1"/>
  <c r="N11" i="2"/>
  <c r="N66" i="2" s="1"/>
  <c r="W11" i="2"/>
  <c r="K56" i="2" s="1"/>
  <c r="M11" i="2"/>
  <c r="K54" i="2" s="1"/>
  <c r="J87" i="1" a="1"/>
  <c r="Q87" i="1"/>
  <c r="R116" i="1"/>
  <c r="S83" i="1"/>
  <c r="M24" i="2" s="1"/>
  <c r="S82" i="1"/>
  <c r="R83" i="1"/>
  <c r="H24" i="2" s="1"/>
  <c r="R82" i="1"/>
  <c r="U116" i="1"/>
  <c r="T116" i="1"/>
  <c r="V83" i="1"/>
  <c r="V82" i="1"/>
  <c r="S116" i="1"/>
  <c r="U83" i="1"/>
  <c r="W24" i="2" s="1"/>
  <c r="U82" i="1"/>
  <c r="Q47" i="1"/>
  <c r="T83" i="1"/>
  <c r="R24" i="2" s="1"/>
  <c r="Q83" i="1"/>
  <c r="T82" i="1"/>
  <c r="V116" i="1"/>
  <c r="AE47" i="1" a="1"/>
  <c r="AE72" i="1"/>
  <c r="AE74" i="1" s="1"/>
  <c r="Q75" i="1" s="1" a="1"/>
  <c r="AE26" i="1" a="1"/>
  <c r="R115" i="1"/>
  <c r="S78" i="1"/>
  <c r="M17" i="2" s="1"/>
  <c r="S77" i="1"/>
  <c r="R78" i="1"/>
  <c r="H17" i="2" s="1"/>
  <c r="R77" i="1"/>
  <c r="U115" i="1"/>
  <c r="V77" i="1"/>
  <c r="V79" i="1" s="1"/>
  <c r="T115" i="1"/>
  <c r="V78" i="1"/>
  <c r="S115" i="1"/>
  <c r="U78" i="1"/>
  <c r="W17" i="2" s="1"/>
  <c r="U77" i="1"/>
  <c r="T78" i="1"/>
  <c r="R17" i="2" s="1"/>
  <c r="Q78" i="1"/>
  <c r="T77" i="1"/>
  <c r="Q26" i="1"/>
  <c r="V115" i="1"/>
  <c r="J26" i="1" a="1"/>
  <c r="J47" i="1" a="1"/>
  <c r="J72" i="1"/>
  <c r="J74" i="1" s="1"/>
  <c r="X72" i="1"/>
  <c r="X74" i="1" s="1"/>
  <c r="X26" i="1" a="1"/>
  <c r="X47" i="1" a="1"/>
  <c r="L11" i="2" l="1"/>
  <c r="Q11" i="2"/>
  <c r="H43" i="2" s="1"/>
  <c r="V11" i="2"/>
  <c r="H44" i="2" s="1"/>
  <c r="G11" i="2"/>
  <c r="H41" i="2" s="1"/>
  <c r="J87" i="1"/>
  <c r="H42" i="2"/>
  <c r="R79" i="1"/>
  <c r="H23" i="2" s="1"/>
  <c r="S84" i="1"/>
  <c r="M30" i="2" s="1"/>
  <c r="S119" i="1"/>
  <c r="U79" i="1"/>
  <c r="W23" i="2" s="1"/>
  <c r="T84" i="1"/>
  <c r="R30" i="2" s="1"/>
  <c r="Q75" i="1"/>
  <c r="Q93" i="1" s="1" a="1"/>
  <c r="AA116" i="1"/>
  <c r="Z116" i="1"/>
  <c r="AB83" i="1"/>
  <c r="X24" i="2" s="1"/>
  <c r="AB82" i="1"/>
  <c r="Y116" i="1"/>
  <c r="AA83" i="1"/>
  <c r="S24" i="2" s="1"/>
  <c r="AA82" i="1"/>
  <c r="X83" i="1"/>
  <c r="X47" i="1"/>
  <c r="AC116" i="1"/>
  <c r="AB116" i="1"/>
  <c r="Z83" i="1"/>
  <c r="N24" i="2" s="1"/>
  <c r="AC82" i="1"/>
  <c r="Y83" i="1"/>
  <c r="I24" i="2" s="1"/>
  <c r="Z82" i="1"/>
  <c r="AC83" i="1"/>
  <c r="Y82" i="1"/>
  <c r="J83" i="1"/>
  <c r="O116" i="1"/>
  <c r="L116" i="1"/>
  <c r="N83" i="1"/>
  <c r="V24" i="2" s="1"/>
  <c r="N82" i="1"/>
  <c r="K116" i="1"/>
  <c r="M83" i="1"/>
  <c r="Q24" i="2" s="1"/>
  <c r="M82" i="1"/>
  <c r="L83" i="1"/>
  <c r="L24" i="2" s="1"/>
  <c r="L82" i="1"/>
  <c r="J47" i="1"/>
  <c r="O83" i="1"/>
  <c r="K83" i="1"/>
  <c r="G24" i="2" s="1"/>
  <c r="O82" i="1"/>
  <c r="M116" i="1"/>
  <c r="N116" i="1"/>
  <c r="K82" i="1"/>
  <c r="S79" i="1"/>
  <c r="M23" i="2" s="1"/>
  <c r="V119" i="1"/>
  <c r="V84" i="1"/>
  <c r="V108" i="1" s="1"/>
  <c r="N134" i="1" s="1" a="1"/>
  <c r="N134" i="1" s="1"/>
  <c r="R119" i="1"/>
  <c r="AA115" i="1"/>
  <c r="Z115" i="1"/>
  <c r="AB78" i="1"/>
  <c r="X17" i="2" s="1"/>
  <c r="AB77" i="1"/>
  <c r="AB79" i="1" s="1"/>
  <c r="X23" i="2" s="1"/>
  <c r="Y115" i="1"/>
  <c r="AA78" i="1"/>
  <c r="S17" i="2" s="1"/>
  <c r="AA77" i="1"/>
  <c r="X78" i="1"/>
  <c r="AC115" i="1"/>
  <c r="AB115" i="1"/>
  <c r="X26" i="1"/>
  <c r="Y77" i="1"/>
  <c r="Y78" i="1"/>
  <c r="I17" i="2" s="1"/>
  <c r="AC78" i="1"/>
  <c r="Z77" i="1"/>
  <c r="Z78" i="1"/>
  <c r="N17" i="2" s="1"/>
  <c r="AC77" i="1"/>
  <c r="X75" i="1" a="1"/>
  <c r="V120" i="1"/>
  <c r="V118" i="1"/>
  <c r="R120" i="1"/>
  <c r="R118" i="1"/>
  <c r="Q89" i="1" a="1"/>
  <c r="T119" i="1"/>
  <c r="J78" i="1"/>
  <c r="O115" i="1"/>
  <c r="L115" i="1"/>
  <c r="N78" i="1"/>
  <c r="V17" i="2" s="1"/>
  <c r="N77" i="1"/>
  <c r="K115" i="1"/>
  <c r="M78" i="1"/>
  <c r="Q17" i="2" s="1"/>
  <c r="M77" i="1"/>
  <c r="L78" i="1"/>
  <c r="L17" i="2" s="1"/>
  <c r="L77" i="1"/>
  <c r="J26" i="1"/>
  <c r="O78" i="1"/>
  <c r="K78" i="1"/>
  <c r="G17" i="2" s="1"/>
  <c r="O77" i="1"/>
  <c r="N115" i="1"/>
  <c r="K77" i="1"/>
  <c r="M115" i="1"/>
  <c r="Q115" i="1"/>
  <c r="Q77" i="1"/>
  <c r="T120" i="1"/>
  <c r="T118" i="1"/>
  <c r="AJ115" i="1"/>
  <c r="AI115" i="1"/>
  <c r="AH115" i="1"/>
  <c r="AJ78" i="1"/>
  <c r="AJ88" i="1" s="1"/>
  <c r="AJ77" i="1"/>
  <c r="AG78" i="1"/>
  <c r="O17" i="2" s="1"/>
  <c r="AG77" i="1"/>
  <c r="AE26" i="1"/>
  <c r="AF78" i="1"/>
  <c r="J17" i="2" s="1"/>
  <c r="AF77" i="1"/>
  <c r="AE78" i="1"/>
  <c r="AE88" i="1" s="1"/>
  <c r="AG115" i="1"/>
  <c r="AF115" i="1"/>
  <c r="AH78" i="1"/>
  <c r="T17" i="2" s="1"/>
  <c r="AI77" i="1"/>
  <c r="AI78" i="1"/>
  <c r="Y17" i="2" s="1"/>
  <c r="AH77" i="1"/>
  <c r="U119" i="1"/>
  <c r="S120" i="1"/>
  <c r="S118" i="1"/>
  <c r="T79" i="1"/>
  <c r="R23" i="2" s="1"/>
  <c r="Q95" i="1" a="1"/>
  <c r="AE75" i="1" a="1"/>
  <c r="AE95" i="1" a="1"/>
  <c r="X95" i="1" a="1"/>
  <c r="J95" i="1" a="1"/>
  <c r="Q116" i="1"/>
  <c r="Q82" i="1"/>
  <c r="R84" i="1"/>
  <c r="H30" i="2" s="1"/>
  <c r="J75" i="1" a="1"/>
  <c r="Q88" i="1" a="1"/>
  <c r="U120" i="1"/>
  <c r="U118" i="1"/>
  <c r="AJ116" i="1"/>
  <c r="AJ119" i="1" s="1"/>
  <c r="AI116" i="1"/>
  <c r="AH116" i="1"/>
  <c r="AJ83" i="1"/>
  <c r="AJ89" i="1" s="1"/>
  <c r="AJ82" i="1"/>
  <c r="AG83" i="1"/>
  <c r="O24" i="2" s="1"/>
  <c r="AG82" i="1"/>
  <c r="AF83" i="1"/>
  <c r="J24" i="2" s="1"/>
  <c r="AF82" i="1"/>
  <c r="AF84" i="1" s="1"/>
  <c r="J30" i="2" s="1"/>
  <c r="AE83" i="1"/>
  <c r="AE89" i="1" s="1"/>
  <c r="AE47" i="1"/>
  <c r="AG116" i="1"/>
  <c r="AF116" i="1"/>
  <c r="AI83" i="1"/>
  <c r="Y24" i="2" s="1"/>
  <c r="AH82" i="1"/>
  <c r="AH83" i="1"/>
  <c r="T24" i="2" s="1"/>
  <c r="AI82" i="1"/>
  <c r="U84" i="1"/>
  <c r="W30" i="2" s="1"/>
  <c r="M26" i="2" l="1"/>
  <c r="R26" i="2"/>
  <c r="W26" i="2"/>
  <c r="H26" i="2"/>
  <c r="M61" i="2" s="1"/>
  <c r="R13" i="2"/>
  <c r="H13" i="2"/>
  <c r="W13" i="2"/>
  <c r="M13" i="2"/>
  <c r="Q13" i="2"/>
  <c r="G13" i="2"/>
  <c r="L13" i="2"/>
  <c r="V13" i="2"/>
  <c r="R25" i="2"/>
  <c r="M63" i="2" s="1"/>
  <c r="M25" i="2"/>
  <c r="M62" i="2" s="1"/>
  <c r="W25" i="2"/>
  <c r="M64" i="2" s="1"/>
  <c r="H25" i="2"/>
  <c r="I13" i="2"/>
  <c r="S13" i="2"/>
  <c r="X13" i="2"/>
  <c r="N13" i="2"/>
  <c r="T13" i="2"/>
  <c r="J13" i="2"/>
  <c r="O13" i="2"/>
  <c r="Y13" i="2"/>
  <c r="H18" i="2"/>
  <c r="L57" i="2" s="1"/>
  <c r="R18" i="2"/>
  <c r="L59" i="2" s="1"/>
  <c r="W18" i="2"/>
  <c r="L60" i="2" s="1"/>
  <c r="M18" i="2"/>
  <c r="L58" i="2" s="1"/>
  <c r="Y79" i="1"/>
  <c r="I23" i="2" s="1"/>
  <c r="AH84" i="1"/>
  <c r="T30" i="2" s="1"/>
  <c r="K84" i="1"/>
  <c r="G30" i="2" s="1"/>
  <c r="Q89" i="1"/>
  <c r="AH89" i="1"/>
  <c r="T25" i="2" s="1"/>
  <c r="AF89" i="1"/>
  <c r="J25" i="2" s="1"/>
  <c r="AF88" i="1"/>
  <c r="J18" i="2" s="1"/>
  <c r="AI89" i="1"/>
  <c r="Y25" i="2" s="1"/>
  <c r="AI88" i="1"/>
  <c r="Y18" i="2" s="1"/>
  <c r="S108" i="1"/>
  <c r="M31" i="2" s="1"/>
  <c r="Q88" i="1"/>
  <c r="AG88" i="1"/>
  <c r="O18" i="2" s="1"/>
  <c r="Q93" i="1"/>
  <c r="AG89" i="1"/>
  <c r="O25" i="2" s="1"/>
  <c r="AH88" i="1"/>
  <c r="T18" i="2" s="1"/>
  <c r="AC79" i="1"/>
  <c r="Z84" i="1"/>
  <c r="N30" i="2" s="1"/>
  <c r="U108" i="1"/>
  <c r="W31" i="2" s="1"/>
  <c r="AG79" i="1"/>
  <c r="O23" i="2" s="1"/>
  <c r="R108" i="1"/>
  <c r="H31" i="2" s="1"/>
  <c r="AI79" i="1"/>
  <c r="Y23" i="2" s="1"/>
  <c r="T108" i="1"/>
  <c r="R31" i="2" s="1"/>
  <c r="J89" i="1" a="1"/>
  <c r="AC119" i="1"/>
  <c r="Z119" i="1"/>
  <c r="Q79" i="1"/>
  <c r="O84" i="1"/>
  <c r="K119" i="1"/>
  <c r="AA84" i="1"/>
  <c r="S30" i="2" s="1"/>
  <c r="AG119" i="1"/>
  <c r="AJ79" i="1"/>
  <c r="AI119" i="1"/>
  <c r="M79" i="1"/>
  <c r="Q23" i="2" s="1"/>
  <c r="N84" i="1"/>
  <c r="V30" i="2" s="1"/>
  <c r="L84" i="1"/>
  <c r="L30" i="2" s="1"/>
  <c r="O119" i="1"/>
  <c r="AB119" i="1"/>
  <c r="AE75" i="1"/>
  <c r="AE93" i="1" s="1" a="1"/>
  <c r="L120" i="1"/>
  <c r="L118" i="1"/>
  <c r="Q84" i="1"/>
  <c r="AF120" i="1"/>
  <c r="AF118" i="1"/>
  <c r="Q120" i="1"/>
  <c r="Q118" i="1"/>
  <c r="L79" i="1"/>
  <c r="L23" i="2" s="1"/>
  <c r="O120" i="1"/>
  <c r="O118" i="1"/>
  <c r="X75" i="1"/>
  <c r="X92" i="1" s="1" a="1"/>
  <c r="X77" i="1"/>
  <c r="X115" i="1"/>
  <c r="N119" i="1"/>
  <c r="M84" i="1"/>
  <c r="Q30" i="2" s="1"/>
  <c r="Y84" i="1"/>
  <c r="I30" i="2" s="1"/>
  <c r="X82" i="1"/>
  <c r="X116" i="1"/>
  <c r="AA119" i="1"/>
  <c r="AG84" i="1"/>
  <c r="O30" i="2" s="1"/>
  <c r="Q119" i="1"/>
  <c r="AG120" i="1"/>
  <c r="AG118" i="1"/>
  <c r="M118" i="1"/>
  <c r="M120" i="1"/>
  <c r="J88" i="1" a="1"/>
  <c r="AB120" i="1"/>
  <c r="AB118" i="1"/>
  <c r="Z120" i="1"/>
  <c r="Z118" i="1"/>
  <c r="M119" i="1"/>
  <c r="X89" i="1" a="1"/>
  <c r="AI84" i="1"/>
  <c r="Y30" i="2" s="1"/>
  <c r="J77" i="1"/>
  <c r="J115" i="1"/>
  <c r="AH120" i="1"/>
  <c r="AH118" i="1"/>
  <c r="AJ84" i="1"/>
  <c r="AJ108" i="1" s="1"/>
  <c r="N136" i="1" s="1" a="1"/>
  <c r="N136" i="1" s="1"/>
  <c r="AI120" i="1"/>
  <c r="AI118" i="1"/>
  <c r="Q92" i="1" a="1"/>
  <c r="Q95" i="1"/>
  <c r="J95" i="1"/>
  <c r="K79" i="1"/>
  <c r="G23" i="2" s="1"/>
  <c r="AC120" i="1"/>
  <c r="AC118" i="1"/>
  <c r="J75" i="1"/>
  <c r="J93" i="1" s="1" a="1"/>
  <c r="AF79" i="1"/>
  <c r="J23" i="2" s="1"/>
  <c r="N118" i="1"/>
  <c r="N120" i="1"/>
  <c r="X88" i="1" a="1"/>
  <c r="AE95" i="1"/>
  <c r="AH79" i="1"/>
  <c r="T23" i="2" s="1"/>
  <c r="AJ120" i="1"/>
  <c r="AJ118" i="1"/>
  <c r="O79" i="1"/>
  <c r="K120" i="1"/>
  <c r="K118" i="1"/>
  <c r="Z79" i="1"/>
  <c r="N23" i="2" s="1"/>
  <c r="AA79" i="1"/>
  <c r="S23" i="2" s="1"/>
  <c r="AC84" i="1"/>
  <c r="AC108" i="1" s="1"/>
  <c r="N135" i="1" s="1" a="1"/>
  <c r="N135" i="1" s="1"/>
  <c r="Y119" i="1"/>
  <c r="Y120" i="1"/>
  <c r="Y118" i="1"/>
  <c r="AA120" i="1"/>
  <c r="AA118" i="1"/>
  <c r="AF119" i="1"/>
  <c r="X95" i="1"/>
  <c r="AE116" i="1"/>
  <c r="AE82" i="1"/>
  <c r="AH119" i="1"/>
  <c r="AE115" i="1"/>
  <c r="AE77" i="1"/>
  <c r="N79" i="1"/>
  <c r="V23" i="2" s="1"/>
  <c r="J82" i="1"/>
  <c r="J116" i="1"/>
  <c r="L119" i="1"/>
  <c r="AB84" i="1"/>
  <c r="X30" i="2" s="1"/>
  <c r="S19" i="2" l="1"/>
  <c r="I19" i="2"/>
  <c r="N19" i="2"/>
  <c r="X19" i="2"/>
  <c r="G18" i="2"/>
  <c r="I45" i="2" s="1"/>
  <c r="L18" i="2"/>
  <c r="I46" i="2" s="1"/>
  <c r="Q18" i="2"/>
  <c r="I47" i="2" s="1"/>
  <c r="V18" i="2"/>
  <c r="S18" i="2"/>
  <c r="O71" i="2" s="1"/>
  <c r="I18" i="2"/>
  <c r="O69" i="2" s="1"/>
  <c r="X18" i="2"/>
  <c r="O72" i="2" s="1"/>
  <c r="N18" i="2"/>
  <c r="O70" i="2" s="1"/>
  <c r="M19" i="2"/>
  <c r="W19" i="2"/>
  <c r="H19" i="2"/>
  <c r="R19" i="2"/>
  <c r="G25" i="2"/>
  <c r="J49" i="2" s="1"/>
  <c r="L25" i="2"/>
  <c r="J50" i="2" s="1"/>
  <c r="Q25" i="2"/>
  <c r="J51" i="2" s="1"/>
  <c r="V25" i="2"/>
  <c r="J52" i="2" s="1"/>
  <c r="I25" i="2"/>
  <c r="P73" i="2" s="1"/>
  <c r="S25" i="2"/>
  <c r="P75" i="2" s="1"/>
  <c r="N25" i="2"/>
  <c r="P74" i="2" s="1"/>
  <c r="X25" i="2"/>
  <c r="P76" i="2" s="1"/>
  <c r="T26" i="2"/>
  <c r="J26" i="2"/>
  <c r="O26" i="2"/>
  <c r="Y26" i="2"/>
  <c r="G26" i="2"/>
  <c r="L26" i="2"/>
  <c r="Q26" i="2"/>
  <c r="V26" i="2"/>
  <c r="J134" i="1" a="1"/>
  <c r="J134" i="1" s="1"/>
  <c r="AH108" i="1"/>
  <c r="T31" i="2" s="1"/>
  <c r="AB108" i="1"/>
  <c r="X31" i="2" s="1"/>
  <c r="K108" i="1"/>
  <c r="G31" i="2" s="1"/>
  <c r="X88" i="1"/>
  <c r="X92" i="1"/>
  <c r="J88" i="1"/>
  <c r="I48" i="2"/>
  <c r="M134" i="1" a="1"/>
  <c r="M134" i="1" s="1"/>
  <c r="J89" i="1"/>
  <c r="K134" i="1" a="1"/>
  <c r="K134" i="1" s="1"/>
  <c r="Q92" i="1"/>
  <c r="AF108" i="1"/>
  <c r="J31" i="2" s="1"/>
  <c r="X89" i="1"/>
  <c r="Y108" i="1"/>
  <c r="I31" i="2" s="1"/>
  <c r="AE93" i="1"/>
  <c r="L134" i="1" a="1"/>
  <c r="L134" i="1" s="1"/>
  <c r="Z108" i="1"/>
  <c r="N31" i="2" s="1"/>
  <c r="J93" i="1"/>
  <c r="M108" i="1"/>
  <c r="Q31" i="2" s="1"/>
  <c r="AG108" i="1"/>
  <c r="O31" i="2" s="1"/>
  <c r="AI108" i="1"/>
  <c r="Y31" i="2" s="1"/>
  <c r="O108" i="1"/>
  <c r="N133" i="1" s="1" a="1"/>
  <c r="N133" i="1" s="1"/>
  <c r="AA108" i="1"/>
  <c r="S31" i="2" s="1"/>
  <c r="J92" i="1" a="1"/>
  <c r="AE79" i="1"/>
  <c r="AE80" i="1" s="1" a="1"/>
  <c r="Q108" i="1"/>
  <c r="I134" i="1" s="1" a="1"/>
  <c r="I134" i="1" s="1"/>
  <c r="X93" i="1" a="1"/>
  <c r="X84" i="1"/>
  <c r="X119" i="1"/>
  <c r="J84" i="1"/>
  <c r="L108" i="1"/>
  <c r="L31" i="2" s="1"/>
  <c r="N108" i="1"/>
  <c r="V31" i="2" s="1"/>
  <c r="AE92" i="1" a="1"/>
  <c r="AE120" i="1"/>
  <c r="AE118" i="1"/>
  <c r="AE84" i="1"/>
  <c r="Q85" i="1" s="1" a="1"/>
  <c r="Q85" i="1" s="1"/>
  <c r="X120" i="1"/>
  <c r="X118" i="1"/>
  <c r="Q100" i="1" a="1"/>
  <c r="AE119" i="1"/>
  <c r="J120" i="1"/>
  <c r="J118" i="1"/>
  <c r="X79" i="1"/>
  <c r="Q101" i="1" a="1"/>
  <c r="J119" i="1"/>
  <c r="J79" i="1"/>
  <c r="V19" i="2" l="1"/>
  <c r="L19" i="2"/>
  <c r="Q19" i="2"/>
  <c r="G19" i="2"/>
  <c r="M28" i="2"/>
  <c r="W28" i="2"/>
  <c r="H28" i="2"/>
  <c r="R28" i="2"/>
  <c r="T19" i="2"/>
  <c r="J19" i="2"/>
  <c r="O19" i="2"/>
  <c r="Y19" i="2"/>
  <c r="H21" i="2"/>
  <c r="R21" i="2"/>
  <c r="M21" i="2"/>
  <c r="W21" i="2"/>
  <c r="S26" i="2"/>
  <c r="I26" i="2"/>
  <c r="N26" i="2"/>
  <c r="X26" i="2"/>
  <c r="J133" i="1" a="1"/>
  <c r="J133" i="1" s="1"/>
  <c r="K133" i="1" a="1"/>
  <c r="K133" i="1" s="1"/>
  <c r="L135" i="1" a="1"/>
  <c r="L135" i="1" s="1"/>
  <c r="J135" i="1" a="1"/>
  <c r="J135" i="1" s="1"/>
  <c r="J92" i="1"/>
  <c r="AE92" i="1"/>
  <c r="K135" i="1" a="1"/>
  <c r="K135" i="1" s="1"/>
  <c r="J136" i="1" a="1"/>
  <c r="J136" i="1" s="1"/>
  <c r="J100" i="1" a="1"/>
  <c r="K136" i="1" a="1"/>
  <c r="K136" i="1" s="1"/>
  <c r="L136" i="1" a="1"/>
  <c r="L136" i="1" s="1"/>
  <c r="Q100" i="1"/>
  <c r="L133" i="1" a="1"/>
  <c r="L133" i="1" s="1"/>
  <c r="M133" i="1" a="1"/>
  <c r="M133" i="1" s="1"/>
  <c r="Q101" i="1"/>
  <c r="M136" i="1" a="1"/>
  <c r="M136" i="1" s="1"/>
  <c r="Q80" i="1" a="1"/>
  <c r="Q80" i="1" s="1"/>
  <c r="Q99" i="1" s="1" a="1"/>
  <c r="X93" i="1"/>
  <c r="M135" i="1" a="1"/>
  <c r="M135" i="1" s="1"/>
  <c r="Q96" i="1" a="1"/>
  <c r="AE96" i="1" a="1"/>
  <c r="J96" i="1" a="1"/>
  <c r="J108" i="1"/>
  <c r="I133" i="1" s="1" a="1"/>
  <c r="I133" i="1" s="1"/>
  <c r="X96" i="1" a="1"/>
  <c r="X85" i="1" a="1"/>
  <c r="X85" i="1" s="1"/>
  <c r="Q97" i="1" a="1"/>
  <c r="AE85" i="1" a="1"/>
  <c r="AE85" i="1" s="1"/>
  <c r="AE100" i="1" a="1"/>
  <c r="AE97" i="1" a="1"/>
  <c r="X97" i="1" a="1"/>
  <c r="J97" i="1" a="1"/>
  <c r="AE108" i="1"/>
  <c r="I136" i="1" s="1" a="1"/>
  <c r="I136" i="1" s="1"/>
  <c r="J85" i="1" a="1"/>
  <c r="J85" i="1" s="1"/>
  <c r="X101" i="1" a="1"/>
  <c r="X80" i="1" a="1"/>
  <c r="X108" i="1"/>
  <c r="X100" i="1" a="1"/>
  <c r="AE101" i="1" a="1"/>
  <c r="AE80" i="1"/>
  <c r="J80" i="1" a="1"/>
  <c r="J101" i="1" a="1"/>
  <c r="S28" i="2" l="1"/>
  <c r="I28" i="2"/>
  <c r="N28" i="2"/>
  <c r="X28" i="2"/>
  <c r="W27" i="2"/>
  <c r="R27" i="2"/>
  <c r="M27" i="2"/>
  <c r="H27" i="2"/>
  <c r="H20" i="2"/>
  <c r="M20" i="2"/>
  <c r="W20" i="2"/>
  <c r="R20" i="2"/>
  <c r="G21" i="2"/>
  <c r="L21" i="2"/>
  <c r="Q21" i="2"/>
  <c r="V21" i="2"/>
  <c r="J20" i="2"/>
  <c r="T20" i="2"/>
  <c r="O20" i="2"/>
  <c r="Y20" i="2"/>
  <c r="M14" i="2"/>
  <c r="W14" i="2"/>
  <c r="R14" i="2"/>
  <c r="H14" i="2"/>
  <c r="S20" i="2"/>
  <c r="I20" i="2"/>
  <c r="N20" i="2"/>
  <c r="X20" i="2"/>
  <c r="I21" i="2"/>
  <c r="S21" i="2"/>
  <c r="N21" i="2"/>
  <c r="X21" i="2"/>
  <c r="T21" i="2"/>
  <c r="J21" i="2"/>
  <c r="O21" i="2"/>
  <c r="Y21" i="2"/>
  <c r="G27" i="2"/>
  <c r="L27" i="2"/>
  <c r="Q27" i="2"/>
  <c r="V27" i="2"/>
  <c r="T27" i="2"/>
  <c r="J27" i="2"/>
  <c r="O27" i="2"/>
  <c r="Y27" i="2"/>
  <c r="V28" i="2"/>
  <c r="Q28" i="2"/>
  <c r="L28" i="2"/>
  <c r="G28" i="2"/>
  <c r="T28" i="2"/>
  <c r="J28" i="2"/>
  <c r="Y28" i="2"/>
  <c r="O28" i="2"/>
  <c r="I27" i="2"/>
  <c r="S27" i="2"/>
  <c r="X27" i="2"/>
  <c r="N27" i="2"/>
  <c r="G20" i="2"/>
  <c r="L20" i="2"/>
  <c r="Q20" i="2"/>
  <c r="V20" i="2"/>
  <c r="AE101" i="1"/>
  <c r="X97" i="1"/>
  <c r="J100" i="1"/>
  <c r="J97" i="1"/>
  <c r="X96" i="1"/>
  <c r="X100" i="1"/>
  <c r="AE96" i="1"/>
  <c r="Q96" i="1"/>
  <c r="J109" i="1" a="1"/>
  <c r="J109" i="1" s="1"/>
  <c r="Q97" i="1"/>
  <c r="J101" i="1"/>
  <c r="AE97" i="1"/>
  <c r="J96" i="1"/>
  <c r="AE100" i="1"/>
  <c r="X101" i="1"/>
  <c r="X109" i="1" a="1"/>
  <c r="X109" i="1" s="1"/>
  <c r="I135" i="1" a="1"/>
  <c r="I135" i="1" s="1"/>
  <c r="AE99" i="1" a="1"/>
  <c r="Q99" i="1"/>
  <c r="T103" i="1"/>
  <c r="R32" i="2" s="1"/>
  <c r="S103" i="1"/>
  <c r="M32" i="2" s="1"/>
  <c r="R103" i="1"/>
  <c r="H32" i="2" s="1"/>
  <c r="U103" i="1"/>
  <c r="W32" i="2" s="1"/>
  <c r="V103" i="1"/>
  <c r="X80" i="1"/>
  <c r="X99" i="1" s="1" a="1"/>
  <c r="J80" i="1"/>
  <c r="J99" i="1" s="1" a="1"/>
  <c r="AE109" i="1" a="1"/>
  <c r="AE109" i="1" s="1"/>
  <c r="Q109" i="1" a="1"/>
  <c r="Q109" i="1" s="1"/>
  <c r="Q111" i="1" l="1" a="1"/>
  <c r="Y14" i="2"/>
  <c r="J14" i="2"/>
  <c r="T14" i="2"/>
  <c r="O14" i="2"/>
  <c r="V14" i="2"/>
  <c r="G14" i="2"/>
  <c r="Q14" i="2"/>
  <c r="L14" i="2"/>
  <c r="N14" i="2"/>
  <c r="I14" i="2"/>
  <c r="X14" i="2"/>
  <c r="S14" i="2"/>
  <c r="Q104" i="1" a="1"/>
  <c r="Q104" i="1" s="1"/>
  <c r="AE99" i="1"/>
  <c r="Q103" i="1"/>
  <c r="AH103" i="1"/>
  <c r="T32" i="2" s="1"/>
  <c r="AJ103" i="1"/>
  <c r="AG103" i="1"/>
  <c r="O32" i="2" s="1"/>
  <c r="AF103" i="1"/>
  <c r="J32" i="2" s="1"/>
  <c r="AI103" i="1"/>
  <c r="Y32" i="2" s="1"/>
  <c r="J99" i="1"/>
  <c r="L103" i="1"/>
  <c r="L32" i="2" s="1"/>
  <c r="M103" i="1"/>
  <c r="Q32" i="2" s="1"/>
  <c r="N103" i="1"/>
  <c r="V32" i="2" s="1"/>
  <c r="O103" i="1"/>
  <c r="K103" i="1"/>
  <c r="G32" i="2" s="1"/>
  <c r="X99" i="1"/>
  <c r="X111" i="1" s="1" a="1"/>
  <c r="Y103" i="1"/>
  <c r="I32" i="2" s="1"/>
  <c r="AC103" i="1"/>
  <c r="Z103" i="1"/>
  <c r="N32" i="2" s="1"/>
  <c r="AB103" i="1"/>
  <c r="X32" i="2" s="1"/>
  <c r="AA103" i="1"/>
  <c r="S32" i="2" s="1"/>
  <c r="AE103" i="1" l="1"/>
  <c r="AE111" i="1" a="1"/>
  <c r="J104" i="1" a="1"/>
  <c r="J111" i="1" a="1"/>
  <c r="X111" i="1"/>
  <c r="X29" i="2"/>
  <c r="G76" i="2" s="1"/>
  <c r="X22" i="2"/>
  <c r="G72" i="2" s="1"/>
  <c r="I29" i="2"/>
  <c r="G73" i="2" s="1"/>
  <c r="S15" i="2"/>
  <c r="G67" i="2" s="1"/>
  <c r="N29" i="2"/>
  <c r="G74" i="2" s="1"/>
  <c r="X15" i="2"/>
  <c r="G68" i="2" s="1"/>
  <c r="S29" i="2"/>
  <c r="G75" i="2" s="1"/>
  <c r="N22" i="2"/>
  <c r="G70" i="2" s="1"/>
  <c r="I15" i="2"/>
  <c r="G65" i="2" s="1"/>
  <c r="S22" i="2"/>
  <c r="G71" i="2" s="1"/>
  <c r="N15" i="2"/>
  <c r="G66" i="2" s="1"/>
  <c r="I22" i="2"/>
  <c r="G69" i="2" s="1"/>
  <c r="Q111" i="1"/>
  <c r="R22" i="2"/>
  <c r="G59" i="2" s="1"/>
  <c r="W15" i="2"/>
  <c r="G56" i="2" s="1"/>
  <c r="R15" i="2"/>
  <c r="G55" i="2" s="1"/>
  <c r="M29" i="2"/>
  <c r="G62" i="2" s="1"/>
  <c r="M22" i="2"/>
  <c r="G58" i="2" s="1"/>
  <c r="H15" i="2"/>
  <c r="G53" i="2" s="1"/>
  <c r="H22" i="2"/>
  <c r="G57" i="2" s="1"/>
  <c r="W22" i="2"/>
  <c r="G60" i="2" s="1"/>
  <c r="R29" i="2"/>
  <c r="G63" i="2" s="1"/>
  <c r="W29" i="2"/>
  <c r="G64" i="2" s="1"/>
  <c r="M15" i="2"/>
  <c r="G54" i="2" s="1"/>
  <c r="H29" i="2"/>
  <c r="G61" i="2" s="1"/>
  <c r="J104" i="1"/>
  <c r="X103" i="1"/>
  <c r="X104" i="1" a="1"/>
  <c r="J111" i="1" l="1"/>
  <c r="L29" i="2"/>
  <c r="G50" i="2" s="1"/>
  <c r="Q29" i="2"/>
  <c r="G51" i="2" s="1"/>
  <c r="L22" i="2"/>
  <c r="G46" i="2" s="1"/>
  <c r="L15" i="2"/>
  <c r="G42" i="2" s="1"/>
  <c r="V29" i="2"/>
  <c r="G52" i="2" s="1"/>
  <c r="Q22" i="2"/>
  <c r="G47" i="2" s="1"/>
  <c r="G29" i="2"/>
  <c r="G49" i="2" s="1"/>
  <c r="V22" i="2"/>
  <c r="G48" i="2" s="1"/>
  <c r="Q15" i="2"/>
  <c r="G43" i="2" s="1"/>
  <c r="G22" i="2"/>
  <c r="G45" i="2" s="1"/>
  <c r="G15" i="2"/>
  <c r="G41" i="2" s="1"/>
  <c r="V15" i="2"/>
  <c r="G44" i="2" s="1"/>
  <c r="AE111" i="1"/>
  <c r="T29" i="2"/>
  <c r="O15" i="2"/>
  <c r="T22" i="2"/>
  <c r="J15" i="2"/>
  <c r="Y29" i="2"/>
  <c r="Y22" i="2"/>
  <c r="J29" i="2"/>
  <c r="T15" i="2"/>
  <c r="O29" i="2"/>
  <c r="Y15" i="2"/>
  <c r="J22" i="2"/>
  <c r="O22" i="2"/>
  <c r="X104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<sst xmlns="http://schemas.openxmlformats.org/spreadsheetml/2006/main" count="492" uniqueCount="160">
  <si>
    <t>effect2</t>
  </si>
  <si>
    <t>effect3</t>
  </si>
  <si>
    <t>兄弟数</t>
  </si>
  <si>
    <t>父中卒ref</t>
  </si>
  <si>
    <t>父高卒</t>
  </si>
  <si>
    <t>父大卒</t>
  </si>
  <si>
    <t>世代40s ref</t>
  </si>
  <si>
    <t xml:space="preserve"> 50s</t>
  </si>
  <si>
    <t xml:space="preserve"> 60s</t>
  </si>
  <si>
    <t xml:space="preserve"> 70s</t>
  </si>
  <si>
    <t xml:space="preserve"> 80-90s</t>
  </si>
  <si>
    <t>EGP I+II</t>
  </si>
  <si>
    <t xml:space="preserve"> IIIab</t>
  </si>
  <si>
    <t xml:space="preserve"> IVab</t>
  </si>
  <si>
    <t xml:space="preserve"> V+VI+VIIab+IVc</t>
  </si>
  <si>
    <t xml:space="preserve"> job+abs</t>
  </si>
  <si>
    <t>世代× I+II</t>
  </si>
  <si>
    <t>定数</t>
  </si>
  <si>
    <t>高校</t>
  </si>
  <si>
    <t>xb</t>
  </si>
  <si>
    <t>父職効果</t>
  </si>
  <si>
    <t>　確率</t>
  </si>
  <si>
    <t>p*_1</t>
  </si>
  <si>
    <t>短専</t>
  </si>
  <si>
    <t>進学率</t>
  </si>
  <si>
    <t>p*_2</t>
  </si>
  <si>
    <t>大学</t>
  </si>
  <si>
    <t>p*_3</t>
  </si>
  <si>
    <t>effect1</t>
  </si>
  <si>
    <t>Risk1</t>
  </si>
  <si>
    <t>Risk2</t>
  </si>
  <si>
    <t>Risk3</t>
  </si>
  <si>
    <t>p_1(1-q_1)</t>
  </si>
  <si>
    <t>P_2*(1-P2)</t>
  </si>
  <si>
    <t>p_3(1-q_3)</t>
  </si>
  <si>
    <t>G1</t>
  </si>
  <si>
    <t>G2</t>
  </si>
  <si>
    <t>G3</t>
  </si>
  <si>
    <t>D(L)</t>
  </si>
  <si>
    <t xml:space="preserve"> T1</t>
  </si>
  <si>
    <t xml:space="preserve"> T2</t>
  </si>
  <si>
    <t xml:space="preserve"> T3</t>
  </si>
  <si>
    <t>短大専門</t>
  </si>
  <si>
    <t>短専確率</t>
  </si>
  <si>
    <t>大学確率</t>
  </si>
  <si>
    <t>非進学確率</t>
  </si>
  <si>
    <t>L0</t>
    <phoneticPr fontId="2"/>
  </si>
  <si>
    <t>L1</t>
    <phoneticPr fontId="2"/>
  </si>
  <si>
    <t>L2</t>
    <phoneticPr fontId="2"/>
  </si>
  <si>
    <t>L3</t>
    <phoneticPr fontId="2"/>
  </si>
  <si>
    <t>期待教育年数</t>
    <rPh sb="0" eb="6">
      <t>キタイキョウイクネンスウ</t>
    </rPh>
    <phoneticPr fontId="2"/>
  </si>
  <si>
    <t>格差</t>
    <rPh sb="0" eb="2">
      <t>カクサ</t>
    </rPh>
    <phoneticPr fontId="2"/>
  </si>
  <si>
    <t>N=</t>
  </si>
  <si>
    <t>trans1</t>
  </si>
  <si>
    <t>Jrcol_Tech</t>
  </si>
  <si>
    <t>Higher</t>
  </si>
  <si>
    <t>sibs</t>
  </si>
  <si>
    <t>1b.mutate_edu</t>
  </si>
  <si>
    <t>2.mutate_edu</t>
  </si>
  <si>
    <t>3.mutate_edu</t>
  </si>
  <si>
    <t>4b.pcoh5</t>
  </si>
  <si>
    <t>5.pcoh5</t>
  </si>
  <si>
    <t>6.pcoh5</t>
  </si>
  <si>
    <t>7.pcoh5</t>
  </si>
  <si>
    <t>8.pcoh5</t>
  </si>
  <si>
    <t>o.pcoh5</t>
  </si>
  <si>
    <t>1.fegp4</t>
  </si>
  <si>
    <t>2.fegp4</t>
  </si>
  <si>
    <t>3.fegp4</t>
  </si>
  <si>
    <t>4b.fegp4</t>
  </si>
  <si>
    <t>5.fegp4</t>
  </si>
  <si>
    <t>1.fegp4#c.pcoh5</t>
  </si>
  <si>
    <t>2.fegp4#c.pcoh5</t>
  </si>
  <si>
    <t>3.fegp4#c.pcoh5</t>
  </si>
  <si>
    <t>4b.fegp4#co.pcoh5</t>
  </si>
  <si>
    <t>5.fegp4#c.pcoh5</t>
  </si>
  <si>
    <t>_cons</t>
  </si>
  <si>
    <t>b</t>
  </si>
  <si>
    <t>se</t>
  </si>
  <si>
    <t>z</t>
  </si>
  <si>
    <t>pvalue</t>
  </si>
  <si>
    <t>1940s</t>
    <phoneticPr fontId="2"/>
  </si>
  <si>
    <t>1950s</t>
    <phoneticPr fontId="2"/>
  </si>
  <si>
    <t>1960s</t>
  </si>
  <si>
    <t>1970s</t>
  </si>
  <si>
    <t>1980s</t>
  </si>
  <si>
    <t>1990s</t>
  </si>
  <si>
    <t>I+II</t>
    <phoneticPr fontId="2"/>
  </si>
  <si>
    <t>IIIab</t>
    <phoneticPr fontId="2"/>
  </si>
  <si>
    <t>IVab</t>
    <phoneticPr fontId="2"/>
  </si>
  <si>
    <t>V+VI+VIIab</t>
    <phoneticPr fontId="2"/>
  </si>
  <si>
    <t>Univ.</t>
    <phoneticPr fontId="2"/>
  </si>
  <si>
    <t>Jr.col</t>
    <phoneticPr fontId="2"/>
  </si>
  <si>
    <t>High</t>
    <phoneticPr fontId="2"/>
  </si>
  <si>
    <t>Jr.high</t>
    <phoneticPr fontId="2"/>
  </si>
  <si>
    <t>1960s</t>
    <phoneticPr fontId="2"/>
  </si>
  <si>
    <t>1970s</t>
    <phoneticPr fontId="2"/>
  </si>
  <si>
    <t>1980s</t>
    <phoneticPr fontId="2"/>
  </si>
  <si>
    <t>Men</t>
    <phoneticPr fontId="2"/>
  </si>
  <si>
    <t>T1</t>
    <phoneticPr fontId="2"/>
  </si>
  <si>
    <t>lambda</t>
    <phoneticPr fontId="2"/>
  </si>
  <si>
    <t>coefficient</t>
    <phoneticPr fontId="2"/>
  </si>
  <si>
    <t>e^lambda-1</t>
    <phoneticPr fontId="2"/>
  </si>
  <si>
    <t>Effect</t>
    <phoneticPr fontId="2"/>
  </si>
  <si>
    <t>T1</t>
  </si>
  <si>
    <t>R</t>
    <phoneticPr fontId="2"/>
  </si>
  <si>
    <t>At Risk</t>
    <phoneticPr fontId="2"/>
  </si>
  <si>
    <t>D</t>
    <phoneticPr fontId="2"/>
  </si>
  <si>
    <t>Differenciate</t>
    <phoneticPr fontId="2"/>
  </si>
  <si>
    <t>G</t>
    <phoneticPr fontId="2"/>
  </si>
  <si>
    <t>Gain</t>
    <phoneticPr fontId="2"/>
  </si>
  <si>
    <t>Total</t>
    <phoneticPr fontId="2"/>
  </si>
  <si>
    <t>p</t>
    <phoneticPr fontId="2"/>
  </si>
  <si>
    <t>T2</t>
    <phoneticPr fontId="2"/>
  </si>
  <si>
    <t>T2</t>
  </si>
  <si>
    <t>T3</t>
    <phoneticPr fontId="2"/>
  </si>
  <si>
    <t>Expected</t>
    <phoneticPr fontId="2"/>
  </si>
  <si>
    <t>L</t>
    <phoneticPr fontId="2"/>
  </si>
  <si>
    <t>Expected atteinment</t>
    <phoneticPr fontId="2"/>
  </si>
  <si>
    <t>D(L)</t>
    <phoneticPr fontId="2"/>
  </si>
  <si>
    <t>Total Gap</t>
    <phoneticPr fontId="2"/>
  </si>
  <si>
    <t>xb</t>
    <phoneticPr fontId="2"/>
  </si>
  <si>
    <t>p*</t>
    <phoneticPr fontId="2"/>
  </si>
  <si>
    <t>T3</t>
  </si>
  <si>
    <t>Weight</t>
    <phoneticPr fontId="2"/>
  </si>
  <si>
    <t>III:T2</t>
    <phoneticPr fontId="2"/>
  </si>
  <si>
    <t>III:T3</t>
    <phoneticPr fontId="2"/>
  </si>
  <si>
    <t>VI:T1</t>
    <phoneticPr fontId="2"/>
  </si>
  <si>
    <t>VI:T2</t>
    <phoneticPr fontId="2"/>
  </si>
  <si>
    <t>VI:T3</t>
    <phoneticPr fontId="2"/>
  </si>
  <si>
    <t>III:T1</t>
    <phoneticPr fontId="2"/>
  </si>
  <si>
    <t>MALE</t>
  </si>
  <si>
    <t>I+II:T1</t>
    <phoneticPr fontId="2"/>
  </si>
  <si>
    <t>I+II:T2</t>
    <phoneticPr fontId="2"/>
  </si>
  <si>
    <t>I+II:T3</t>
    <phoneticPr fontId="2"/>
  </si>
  <si>
    <t>coef.</t>
    <phoneticPr fontId="2"/>
  </si>
  <si>
    <t>s.e.</t>
    <phoneticPr fontId="2"/>
  </si>
  <si>
    <t>sibs</t>
    <phoneticPr fontId="2"/>
  </si>
  <si>
    <t>father's educ (ref. compulsory)</t>
    <phoneticPr fontId="2"/>
  </si>
  <si>
    <t>Tertially</t>
    <phoneticPr fontId="2"/>
  </si>
  <si>
    <t>Birth cohort (ref. 1940s)</t>
    <phoneticPr fontId="2"/>
  </si>
  <si>
    <t>1980s~</t>
    <phoneticPr fontId="2"/>
  </si>
  <si>
    <t>Father's EGP I+II</t>
    <phoneticPr fontId="2"/>
  </si>
  <si>
    <t>Ivab</t>
    <phoneticPr fontId="2"/>
  </si>
  <si>
    <t>V+VI+VIIab (ref.)</t>
    <phoneticPr fontId="2"/>
  </si>
  <si>
    <t>cohort * I+II</t>
    <phoneticPr fontId="2"/>
  </si>
  <si>
    <t>cohort * IIIab</t>
    <phoneticPr fontId="2"/>
  </si>
  <si>
    <t>cohort *Ivab</t>
    <phoneticPr fontId="2"/>
  </si>
  <si>
    <t>cohort *V+VI+VIIab (ref.)</t>
    <phoneticPr fontId="2"/>
  </si>
  <si>
    <t>cohort* nojob,abs</t>
    <phoneticPr fontId="2"/>
  </si>
  <si>
    <t>nojob,abs</t>
    <phoneticPr fontId="2"/>
  </si>
  <si>
    <t>_cons</t>
    <phoneticPr fontId="2"/>
  </si>
  <si>
    <t>T1(high school)</t>
    <phoneticPr fontId="2"/>
  </si>
  <si>
    <t>T2(Jr./Tech collage)</t>
    <phoneticPr fontId="2"/>
  </si>
  <si>
    <t>T3(4-year collage/University)</t>
    <phoneticPr fontId="2"/>
  </si>
  <si>
    <t>N of First Transition</t>
    <phoneticPr fontId="2"/>
  </si>
  <si>
    <t>N of Second Transition</t>
    <phoneticPr fontId="2"/>
  </si>
  <si>
    <t>Log-likelihood</t>
    <phoneticPr fontId="2"/>
  </si>
  <si>
    <t>BIC</t>
    <phoneticPr fontId="2"/>
  </si>
  <si>
    <t>Sequential Logit regression (Viri)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</si>
</sst>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;\-0.000;\-"/>
    <numFmt numFmtId="177" formatCode="0;\-0;\-"/>
    <numFmt numFmtId="178" formatCode="0.000;\-0.000;"/>
    <numFmt numFmtId="179" formatCode="\(0.000\);;"/>
    <numFmt numFmtId="180" formatCode="0.00;\-0.00;\-"/>
  </numFmts>
  <fonts count="6" x14ac:knownFonts="1">
    <font>
      <sz val="11"/>
      <name val="Calibri"/>
    </font>
    <font>
      <sz val="11"/>
      <name val="Calibri"/>
      <family val="2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UD Digi Kyokasho N-R"/>
      <family val="1"/>
      <charset val="128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ashed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1" fillId="0" borderId="2" xfId="0" applyFont="1" applyBorder="1"/>
    <xf numFmtId="0" fontId="0" fillId="0" borderId="2" xfId="0" applyBorder="1"/>
    <xf numFmtId="0" fontId="0" fillId="2" borderId="0" xfId="0" applyFill="1"/>
    <xf numFmtId="0" fontId="3" fillId="0" borderId="0" xfId="0" applyFont="1"/>
    <xf numFmtId="0" fontId="4" fillId="0" borderId="0" xfId="0" applyFont="1"/>
    <xf numFmtId="0" fontId="1" fillId="0" borderId="0" xfId="0" applyFont="1"/>
    <xf numFmtId="0" fontId="0" fillId="0" borderId="3" xfId="0" applyBorder="1"/>
    <xf numFmtId="0" fontId="1" fillId="0" borderId="3" xfId="0" applyFont="1" applyBorder="1"/>
    <xf numFmtId="176" fontId="0" fillId="0" borderId="0" xfId="0" applyNumberFormat="1"/>
    <xf numFmtId="0" fontId="1" fillId="0" borderId="0" xfId="0" applyFont="1" applyAlignment="1">
      <alignment horizontal="left" indent="1"/>
    </xf>
    <xf numFmtId="177" fontId="0" fillId="0" borderId="0" xfId="0" applyNumberFormat="1"/>
    <xf numFmtId="0" fontId="1" fillId="0" borderId="0" xfId="0" applyFont="1" applyAlignment="1">
      <alignment horizontal="left"/>
    </xf>
    <xf numFmtId="0" fontId="0" fillId="0" borderId="4" xfId="0" applyBorder="1"/>
    <xf numFmtId="0" fontId="1" fillId="0" borderId="4" xfId="0" applyFont="1" applyBorder="1"/>
    <xf numFmtId="176" fontId="0" fillId="0" borderId="4" xfId="0" applyNumberFormat="1" applyBorder="1"/>
    <xf numFmtId="176" fontId="0" fillId="0" borderId="3" xfId="0" applyNumberFormat="1" applyBorder="1"/>
    <xf numFmtId="0" fontId="1" fillId="0" borderId="3" xfId="0" applyFont="1" applyBorder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5" fillId="0" borderId="0" xfId="0" applyFont="1" applyAlignment="1">
      <alignment horizontal="right"/>
    </xf>
    <xf numFmtId="178" fontId="5" fillId="0" borderId="0" xfId="0" applyNumberFormat="1" applyFont="1" applyAlignment="1">
      <alignment horizontal="right"/>
    </xf>
    <xf numFmtId="179" fontId="5" fillId="0" borderId="0" xfId="0" applyNumberFormat="1" applyFont="1" applyAlignment="1">
      <alignment horizontal="right"/>
    </xf>
    <xf numFmtId="178" fontId="5" fillId="0" borderId="0" xfId="0" applyNumberFormat="1" applyFont="1" applyAlignment="1">
      <alignment horizontal="left"/>
    </xf>
    <xf numFmtId="0" fontId="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78" fontId="5" fillId="0" borderId="3" xfId="0" applyNumberFormat="1" applyFont="1" applyBorder="1" applyAlignment="1">
      <alignment horizontal="right"/>
    </xf>
    <xf numFmtId="179" fontId="5" fillId="0" borderId="3" xfId="0" applyNumberFormat="1" applyFont="1" applyBorder="1" applyAlignment="1">
      <alignment horizontal="right"/>
    </xf>
    <xf numFmtId="178" fontId="5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right"/>
    </xf>
    <xf numFmtId="0" fontId="5" fillId="0" borderId="3" xfId="0" applyFont="1" applyBorder="1" applyAlignment="1">
      <alignment horizontal="left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horizontal="left"/>
    </xf>
    <xf numFmtId="180" fontId="0" fillId="0" borderId="0" xfId="0" applyNumberFormat="1"/>
  </cellXfs>
  <cellStyles count="1">
    <cellStyle name="標準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Sheet1!$I$104</c:f>
              <c:strCache>
                <c:ptCount val="1"/>
                <c:pt idx="0">
                  <c:v> T1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Sheet1!$J$71:$O$71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Sheet1!$J$104:$O$104</c:f>
              <c:numCache>
                <c:formatCode>General</c:formatCode>
                <c:ptCount val="6"/>
                <c:pt idx="0">
                  <c:v>0.40413624382678198</c:v>
                </c:pt>
                <c:pt idx="1">
                  <c:v>0.14952411321903708</c:v>
                </c:pt>
                <c:pt idx="2">
                  <c:v>7.7748626200347254E-2</c:v>
                </c:pt>
                <c:pt idx="3">
                  <c:v>0.10411526208640455</c:v>
                </c:pt>
                <c:pt idx="4">
                  <c:v>0.11072462661016372</c:v>
                </c:pt>
                <c:pt idx="5">
                  <c:v>0.11016020821821684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6-40E8-8882-ED6B6517A2D5}"/>
            </c:ext>
          </c:extLst>
        </c:ser>
        <c:ser>
          <c:idx val="2"/>
          <c:order val="2"/>
          <c:tx>
            <c:strRef>
              <c:f>Sheet1!$I$105</c:f>
              <c:strCache>
                <c:ptCount val="1"/>
                <c:pt idx="0">
                  <c:v> T2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Sheet1!$J$71:$O$71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Sheet1!$J$105:$O$105</c:f>
              <c:numCache>
                <c:formatCode>General</c:formatCode>
                <c:ptCount val="6"/>
                <c:pt idx="0">
                  <c:v>-3.5225587443390306E-2</c:v>
                </c:pt>
                <c:pt idx="1">
                  <c:v>-6.6564754116952563E-2</c:v>
                </c:pt>
                <c:pt idx="2">
                  <c:v>-0.11493054775953353</c:v>
                </c:pt>
                <c:pt idx="3">
                  <c:v>-0.20451483652202102</c:v>
                </c:pt>
                <c:pt idx="4">
                  <c:v>-0.22404757077707399</c:v>
                </c:pt>
                <c:pt idx="5">
                  <c:v>-0.26524863980034269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6-40E8-8882-ED6B6517A2D5}"/>
            </c:ext>
          </c:extLst>
        </c:ser>
        <c:ser>
          <c:idx val="3"/>
          <c:order val="3"/>
          <c:tx>
            <c:strRef>
              <c:f>Sheet1!$I$106</c:f>
              <c:strCache>
                <c:ptCount val="1"/>
                <c:pt idx="0">
                  <c:v> T3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schemeClr val="bg1">
                  <a:lumMod val="9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Sheet1!$J$71:$O$71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Sheet1!$J$106:$O$106</c:f>
              <c:numCache>
                <c:formatCode>General</c:formatCode>
                <c:ptCount val="6"/>
                <c:pt idx="0">
                  <c:v>1.2545959245829745</c:v>
                </c:pt>
                <c:pt idx="1">
                  <c:v>1.0652902143888237</c:v>
                </c:pt>
                <c:pt idx="2">
                  <c:v>1.1974343073712956</c:v>
                </c:pt>
                <c:pt idx="3">
                  <c:v>1.1951467881358919</c:v>
                </c:pt>
                <c:pt idx="4">
                  <c:v>1.0199239777680109</c:v>
                </c:pt>
                <c:pt idx="5">
                  <c:v>0.99740764167732776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9F-4ABA-915A-B47CCE1F48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39844703"/>
        <c:axId val="839845183"/>
      </c:barChart>
      <c:lineChart>
        <c:grouping val="standard"/>
        <c:varyColors val="0"/>
        <c:ser>
          <c:idx val="0"/>
          <c:order val="0"/>
          <c:tx>
            <c:strRef>
              <c:f>Sheet1!$I$103</c:f>
              <c:strCache>
                <c:ptCount val="1"/>
                <c:pt idx="0">
                  <c:v>D(L)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Sheet1!$J$71:$O$71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Sheet1!$J$103:$O$103</c:f>
              <c:numCache>
                <c:formatCode>General</c:formatCode>
                <c:ptCount val="6"/>
                <c:pt idx="0">
                  <c:v>1.6235065809663662</c:v>
                </c:pt>
                <c:pt idx="1">
                  <c:v>1.1482495734909082</c:v>
                </c:pt>
                <c:pt idx="2">
                  <c:v>1.1602523858121094</c:v>
                </c:pt>
                <c:pt idx="3">
                  <c:v>1.0947472137002754</c:v>
                </c:pt>
                <c:pt idx="4">
                  <c:v>0.90660103360110067</c:v>
                </c:pt>
                <c:pt idx="5">
                  <c:v>0.84231921009520194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6-40E8-8882-ED6B6517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44703"/>
        <c:axId val="839845183"/>
      </c:lineChart>
      <c:catAx>
        <c:axId val="83984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5183"/>
        <c:crosses val="autoZero"/>
        <c:auto val="1"/>
        <c:lblAlgn val="ctr"/>
        <c:lblOffset val="100"/>
        <c:noMultiLvlLbl val="0"/>
      </c:catAx>
      <c:valAx>
        <c:axId val="83984518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Sheet1!$I$104</c:f>
              <c:strCache>
                <c:ptCount val="1"/>
                <c:pt idx="0">
                  <c:v> T1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Sheet1!$Q$71:$V$71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Sheet1!$Q$104:$V$104</c:f>
              <c:numCache>
                <c:formatCode>General</c:formatCode>
                <c:ptCount val="6"/>
                <c:pt idx="0">
                  <c:v>0.2377763559578927</c:v>
                </c:pt>
                <c:pt idx="1">
                  <c:v>9.0594841896240674E-2</c:v>
                </c:pt>
                <c:pt idx="2">
                  <c:v>4.7112623063221122E-2</c:v>
                </c:pt>
                <c:pt idx="3">
                  <c:v>6.2968202652664798E-2</c:v>
                </c:pt>
                <c:pt idx="4">
                  <c:v>6.741864080501081E-2</c:v>
                </c:pt>
                <c:pt idx="5">
                  <c:v>6.7028900987000595E-2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6-40E8-8882-ED6B6517A2D5}"/>
            </c:ext>
          </c:extLst>
        </c:ser>
        <c:ser>
          <c:idx val="2"/>
          <c:order val="2"/>
          <c:tx>
            <c:strRef>
              <c:f>Sheet1!$I$105</c:f>
              <c:strCache>
                <c:ptCount val="1"/>
                <c:pt idx="0">
                  <c:v> T2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Sheet1!$Q$71:$V$71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Sheet1!$Q$105:$V$105</c:f>
              <c:numCache>
                <c:formatCode>General</c:formatCode>
                <c:ptCount val="6"/>
                <c:pt idx="0">
                  <c:v>2.5329236781229017E-2</c:v>
                </c:pt>
                <c:pt idx="1">
                  <c:v>6.5390229615332608E-4</c:v>
                </c:pt>
                <c:pt idx="2">
                  <c:v>-4.9741843946488382E-2</c:v>
                </c:pt>
                <c:pt idx="3">
                  <c:v>-0.15016958915912321</c:v>
                </c:pt>
                <c:pt idx="4">
                  <c:v>-0.24615672995714338</c:v>
                </c:pt>
                <c:pt idx="5">
                  <c:v>-0.35772699430330968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6-40E8-8882-ED6B6517A2D5}"/>
            </c:ext>
          </c:extLst>
        </c:ser>
        <c:ser>
          <c:idx val="3"/>
          <c:order val="3"/>
          <c:tx>
            <c:strRef>
              <c:f>Sheet1!$I$106</c:f>
              <c:strCache>
                <c:ptCount val="1"/>
                <c:pt idx="0">
                  <c:v> T3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schemeClr val="bg1">
                  <a:lumMod val="9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Sheet1!$Q$71:$V$71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Sheet1!$Q$106:$V$106</c:f>
              <c:numCache>
                <c:formatCode>General</c:formatCode>
                <c:ptCount val="6"/>
                <c:pt idx="0">
                  <c:v>0.81777008258795214</c:v>
                </c:pt>
                <c:pt idx="1">
                  <c:v>0.7176692354568136</c:v>
                </c:pt>
                <c:pt idx="2">
                  <c:v>0.79445303992513094</c:v>
                </c:pt>
                <c:pt idx="3">
                  <c:v>0.79009251428747396</c:v>
                </c:pt>
                <c:pt idx="4">
                  <c:v>0.73985995581977804</c:v>
                </c:pt>
                <c:pt idx="5">
                  <c:v>0.76372017373485124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0D-4983-BCB6-16AE9D4FA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39844703"/>
        <c:axId val="839845183"/>
      </c:barChart>
      <c:lineChart>
        <c:grouping val="standard"/>
        <c:varyColors val="0"/>
        <c:ser>
          <c:idx val="0"/>
          <c:order val="0"/>
          <c:tx>
            <c:strRef>
              <c:f>Sheet1!$I$103</c:f>
              <c:strCache>
                <c:ptCount val="1"/>
                <c:pt idx="0">
                  <c:v>D(L)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Sheet1!$Q$71:$V$71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Sheet1!$Q$103:$V$103</c:f>
              <c:numCache>
                <c:formatCode>General</c:formatCode>
                <c:ptCount val="6"/>
                <c:pt idx="0">
                  <c:v>1.0808756753270738</c:v>
                </c:pt>
                <c:pt idx="1">
                  <c:v>0.80891797964920764</c:v>
                </c:pt>
                <c:pt idx="2">
                  <c:v>0.79182381904186372</c:v>
                </c:pt>
                <c:pt idx="3">
                  <c:v>0.70289112778101559</c:v>
                </c:pt>
                <c:pt idx="4">
                  <c:v>0.56112186666764541</c:v>
                </c:pt>
                <c:pt idx="5">
                  <c:v>0.47302208041854216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6-40E8-8882-ED6B6517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44703"/>
        <c:axId val="839845183"/>
      </c:lineChart>
      <c:catAx>
        <c:axId val="83984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5183"/>
        <c:crosses val="autoZero"/>
        <c:auto val="1"/>
        <c:lblAlgn val="ctr"/>
        <c:lblOffset val="100"/>
        <c:noMultiLvlLbl val="0"/>
      </c:catAx>
      <c:valAx>
        <c:axId val="83984518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1"/>
          <c:tx>
            <c:strRef>
              <c:f>Sheet1!$I$104</c:f>
              <c:strCache>
                <c:ptCount val="1"/>
                <c:pt idx="0">
                  <c:v> T1</c:v>
                </c:pt>
              </c:strCache>
            </c:strRef>
          </c:tx>
          <c:spPr>
            <a:solidFill>
              <a:schemeClr val="bg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Sheet1!$X$71:$AC$71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Sheet1!$X$104:$AC$104</c:f>
              <c:numCache>
                <c:formatCode>General</c:formatCode>
                <c:ptCount val="6"/>
                <c:pt idx="0">
                  <c:v>0.18787940245139079</c:v>
                </c:pt>
                <c:pt idx="1">
                  <c:v>6.3592045522947574E-2</c:v>
                </c:pt>
                <c:pt idx="2">
                  <c:v>2.8327828052205614E-2</c:v>
                </c:pt>
                <c:pt idx="3">
                  <c:v>3.1284590112393935E-2</c:v>
                </c:pt>
                <c:pt idx="4">
                  <c:v>2.6358178730927533E-2</c:v>
                </c:pt>
                <c:pt idx="5">
                  <c:v>1.8513267488635885E-2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96-40E8-8882-ED6B6517A2D5}"/>
            </c:ext>
          </c:extLst>
        </c:ser>
        <c:ser>
          <c:idx val="2"/>
          <c:order val="2"/>
          <c:tx>
            <c:strRef>
              <c:f>Sheet1!$I$105</c:f>
              <c:strCache>
                <c:ptCount val="1"/>
                <c:pt idx="0">
                  <c:v> T2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Sheet1!$X$71:$AC$71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Sheet1!$X$105:$AC$105</c:f>
              <c:numCache>
                <c:formatCode>General</c:formatCode>
                <c:ptCount val="6"/>
                <c:pt idx="0">
                  <c:v>1.2003055262347945E-3</c:v>
                </c:pt>
                <c:pt idx="1">
                  <c:v>-8.5271159375798246E-3</c:v>
                </c:pt>
                <c:pt idx="2">
                  <c:v>-1.7616254192032724E-2</c:v>
                </c:pt>
                <c:pt idx="3">
                  <c:v>-2.754251712730927E-2</c:v>
                </c:pt>
                <c:pt idx="4">
                  <c:v>-3.8063262751803821E-2</c:v>
                </c:pt>
                <c:pt idx="5">
                  <c:v>-3.4662901078181076E-2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96-40E8-8882-ED6B6517A2D5}"/>
            </c:ext>
          </c:extLst>
        </c:ser>
        <c:ser>
          <c:idx val="3"/>
          <c:order val="3"/>
          <c:tx>
            <c:strRef>
              <c:f>Sheet1!$I$106</c:f>
              <c:strCache>
                <c:ptCount val="1"/>
                <c:pt idx="0">
                  <c:v> T3</c:v>
                </c:pt>
              </c:strCache>
            </c:strRef>
          </c:tx>
          <c:spPr>
            <a:pattFill prst="ltUpDiag">
              <a:fgClr>
                <a:schemeClr val="tx1"/>
              </a:fgClr>
              <a:bgClr>
                <a:schemeClr val="bg1">
                  <a:lumMod val="95000"/>
                </a:schemeClr>
              </a:bgClr>
            </a:patt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Sheet1!$X$71:$AC$71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Sheet1!$X$106:$AC$106</c:f>
              <c:numCache>
                <c:formatCode>General</c:formatCode>
                <c:ptCount val="6"/>
                <c:pt idx="0">
                  <c:v>0.75542593914733136</c:v>
                </c:pt>
                <c:pt idx="1">
                  <c:v>0.54133529454153884</c:v>
                </c:pt>
                <c:pt idx="2">
                  <c:v>0.40996002734423709</c:v>
                </c:pt>
                <c:pt idx="3">
                  <c:v>0.20377984439811406</c:v>
                </c:pt>
                <c:pt idx="4">
                  <c:v>1.0482822923243222E-2</c:v>
                </c:pt>
                <c:pt idx="5">
                  <c:v>-0.18278953089146413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94-4499-9520-93287EBB1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839844703"/>
        <c:axId val="839845183"/>
      </c:barChart>
      <c:lineChart>
        <c:grouping val="standard"/>
        <c:varyColors val="0"/>
        <c:ser>
          <c:idx val="0"/>
          <c:order val="0"/>
          <c:tx>
            <c:strRef>
              <c:f>Sheet1!$I$103</c:f>
              <c:strCache>
                <c:ptCount val="1"/>
                <c:pt idx="0">
                  <c:v>D(L)</c:v>
                </c:pt>
              </c:strCache>
            </c:strRef>
          </c:tx>
          <c:spPr>
            <a:ln w="28575" cap="rnd">
              <a:solidFill>
                <a:schemeClr val="dk1">
                  <a:tint val="885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cat>
            <c:strRef>
              <c:f>Sheet1!$X$71:$AC$71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Sheet1!$X$103:$AC$103</c:f>
              <c:numCache>
                <c:formatCode>General</c:formatCode>
                <c:ptCount val="6"/>
                <c:pt idx="0">
                  <c:v>0.94450564712495688</c:v>
                </c:pt>
                <c:pt idx="1">
                  <c:v>0.59640022412690663</c:v>
                </c:pt>
                <c:pt idx="2">
                  <c:v>0.42067160120441</c:v>
                </c:pt>
                <c:pt idx="3">
                  <c:v>0.20752191738319872</c:v>
                </c:pt>
                <c:pt idx="4">
                  <c:v>-1.2222610976330654E-3</c:v>
                </c:pt>
                <c:pt idx="5">
                  <c:v>-0.19893916448100932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96-40E8-8882-ED6B6517A2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9844703"/>
        <c:axId val="839845183"/>
      </c:lineChart>
      <c:catAx>
        <c:axId val="839844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5183"/>
        <c:crosses val="autoZero"/>
        <c:auto val="1"/>
        <c:lblAlgn val="ctr"/>
        <c:lblOffset val="100"/>
        <c:noMultiLvlLbl val="0"/>
      </c:catAx>
      <c:valAx>
        <c:axId val="839845183"/>
        <c:scaling>
          <c:orientation val="minMax"/>
          <c:max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39844703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Sheet1!$H$133</c:f>
              <c:strCache>
                <c:ptCount val="1"/>
                <c:pt idx="0">
                  <c:v>I+II</c:v>
                </c:pt>
              </c:strCache>
            </c:strRef>
          </c:tx>
          <c:spPr>
            <a:ln w="22225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7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cat>
            <c:strRef>
              <c:f>Sheet1!$I$132:$N$132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Sheet1!$I$133:$N$133</c:f>
              <c:numCache>
                <c:formatCode>General</c:formatCode>
                <c:ptCount val="6"/>
                <c:pt idx="0">
                  <c:v>15.462764672042983</c:v>
                </c:pt>
                <c:pt idx="1">
                  <c:v>15.602861213574196</c:v>
                </c:pt>
                <c:pt idx="2">
                  <c:v>15.443587087056791</c:v>
                </c:pt>
                <c:pt idx="3">
                  <c:v>15.305927185446173</c:v>
                </c:pt>
                <c:pt idx="4">
                  <c:v>15.443972573853651</c:v>
                </c:pt>
                <c:pt idx="5">
                  <c:v>15.379690750347747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32-4655-95F2-3751FD94A6B9}"/>
            </c:ext>
          </c:extLst>
        </c:ser>
        <c:ser>
          <c:idx val="1"/>
          <c:order val="1"/>
          <c:tx>
            <c:strRef>
              <c:f>Sheet1!$H$134</c:f>
              <c:strCache>
                <c:ptCount val="1"/>
                <c:pt idx="0">
                  <c:v>IIIab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lgDash"/>
              <a:round/>
            </a:ln>
            <a:effectLst/>
          </c:spPr>
          <c:marker>
            <c:symbol val="triangle"/>
            <c:size val="7"/>
            <c:spPr>
              <a:solidFill>
                <a:schemeClr val="tx1">
                  <a:lumMod val="65000"/>
                  <a:lumOff val="35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Sheet1!$I$132:$N$132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Sheet1!$I$134:$N$134</c:f>
              <c:numCache>
                <c:formatCode>General</c:formatCode>
                <c:ptCount val="6"/>
                <c:pt idx="0">
                  <c:v>14.920133766403694</c:v>
                </c:pt>
                <c:pt idx="1">
                  <c:v>15.263529619732489</c:v>
                </c:pt>
                <c:pt idx="2">
                  <c:v>15.075158520286546</c:v>
                </c:pt>
                <c:pt idx="3">
                  <c:v>14.914071099526915</c:v>
                </c:pt>
                <c:pt idx="4">
                  <c:v>15.098493406920195</c:v>
                </c:pt>
                <c:pt idx="5">
                  <c:v>15.01039362067109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132-4655-95F2-3751FD94A6B9}"/>
            </c:ext>
          </c:extLst>
        </c:ser>
        <c:ser>
          <c:idx val="2"/>
          <c:order val="2"/>
          <c:tx>
            <c:strRef>
              <c:f>Sheet1!$H$135</c:f>
              <c:strCache>
                <c:ptCount val="1"/>
                <c:pt idx="0">
                  <c:v>IVab</c:v>
                </c:pt>
              </c:strCache>
            </c:strRef>
          </c:tx>
          <c:spPr>
            <a:ln w="19050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noFill/>
              </a:ln>
              <a:effectLst/>
            </c:spPr>
          </c:marker>
          <c:cat>
            <c:strRef>
              <c:f>Sheet1!$I$132:$N$132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Sheet1!$I$135:$N$135</c:f>
              <c:numCache>
                <c:formatCode>General</c:formatCode>
                <c:ptCount val="6"/>
                <c:pt idx="0">
                  <c:v>14.783763738201577</c:v>
                </c:pt>
                <c:pt idx="1">
                  <c:v>15.051011864210189</c:v>
                </c:pt>
                <c:pt idx="2">
                  <c:v>14.704006302449093</c:v>
                </c:pt>
                <c:pt idx="3">
                  <c:v>14.4187018891291</c:v>
                </c:pt>
                <c:pt idx="4">
                  <c:v>14.536149279154914</c:v>
                </c:pt>
                <c:pt idx="5">
                  <c:v>14.338432375771539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132-4655-95F2-3751FD94A6B9}"/>
            </c:ext>
          </c:extLst>
        </c:ser>
        <c:ser>
          <c:idx val="3"/>
          <c:order val="3"/>
          <c:tx>
            <c:strRef>
              <c:f>Sheet1!$H$136</c:f>
              <c:strCache>
                <c:ptCount val="1"/>
                <c:pt idx="0">
                  <c:v>V+VI+VIIab</c:v>
                </c:pt>
              </c:strCache>
            </c:strRef>
          </c:tx>
          <c:spPr>
            <a:ln w="25400" cap="rnd">
              <a:solidFill>
                <a:schemeClr val="tx1">
                  <a:lumMod val="65000"/>
                  <a:lumOff val="3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Sheet1!$I$132:$N$132</c:f>
              <c:strCache>
                <c:ptCount val="6"/>
                <c:pt idx="0">
                  <c:v>1940s</c:v>
                </c:pt>
                <c:pt idx="1">
                  <c:v>1950s</c:v>
                </c:pt>
                <c:pt idx="2">
                  <c:v>1960s</c:v>
                </c:pt>
                <c:pt idx="3">
                  <c:v>1970s</c:v>
                </c:pt>
                <c:pt idx="4">
                  <c:v>1980s</c:v>
                </c:pt>
                <c:pt idx="5">
                  <c:v>1990s</c:v>
                </c:pt>
              </c:strCache>
            </c:strRef>
          </c:cat>
          <c:val>
            <c:numRef>
              <c:f>Sheet1!$I$136:$N$136</c:f>
              <c:numCache>
                <c:formatCode>General</c:formatCode>
                <c:ptCount val="6"/>
                <c:pt idx="0">
                  <c:v>13.839258091076619</c:v>
                </c:pt>
                <c:pt idx="1">
                  <c:v>14.454611640083282</c:v>
                </c:pt>
                <c:pt idx="2">
                  <c:v>14.283334701244684</c:v>
                </c:pt>
                <c:pt idx="3">
                  <c:v>14.211179971745903</c:v>
                </c:pt>
                <c:pt idx="4">
                  <c:v>14.537371540252547</c:v>
                </c:pt>
                <c:pt idx="5">
                  <c:v>14.537371540252547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132-4655-95F2-3751FD94A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7855743"/>
        <c:axId val="1539344095"/>
      </c:lineChart>
      <c:catAx>
        <c:axId val="1017855743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cross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39344095"/>
        <c:crossesAt val="10"/>
        <c:auto val="1"/>
        <c:lblAlgn val="ctr"/>
        <c:lblOffset val="100"/>
        <c:noMultiLvlLbl val="0"/>
      </c:catAx>
      <c:valAx>
        <c:axId val="1539344095"/>
        <c:scaling>
          <c:orientation val="minMax"/>
          <c:max val="17"/>
          <c:min val="10"/>
        </c:scaling>
        <c:delete val="0"/>
        <c:axPos val="l"/>
        <c:majorGridlines>
          <c:spPr>
            <a:ln w="3175" cap="rnd" cmpd="sng" algn="ctr">
              <a:solidFill>
                <a:schemeClr val="tx1"/>
              </a:solidFill>
              <a:prstDash val="solid"/>
              <a:round/>
            </a:ln>
            <a:effectLst/>
          </c:spPr>
        </c:majorGridlines>
        <c:minorGridlines>
          <c:spPr>
            <a:ln w="3175" cap="flat" cmpd="sng" algn="ctr">
              <a:solidFill>
                <a:schemeClr val="bg1">
                  <a:lumMod val="85000"/>
                </a:schemeClr>
              </a:solidFill>
              <a:prstDash val="dash"/>
              <a:round/>
            </a:ln>
            <a:effectLst/>
          </c:spPr>
        </c:minorGridlines>
        <c:numFmt formatCode="General" sourceLinked="1"/>
        <c:majorTickMark val="cross"/>
        <c:minorTickMark val="cross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7855743"/>
        <c:crosses val="autoZero"/>
        <c:crossBetween val="midCat"/>
        <c:majorUnit val="2"/>
        <c:minorUnit val="1"/>
      </c:valAx>
      <c:spPr>
        <a:noFill/>
        <a:ln>
          <a:noFill/>
        </a:ln>
        <a:effectLst/>
      </c:spPr>
    </c:plotArea>
    <c:legend>
      <c:legendPos val="t"/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decomp!$H$40</c:f>
              <c:strCache>
                <c:ptCount val="1"/>
                <c:pt idx="0">
                  <c:v>I+II:T1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headEnd w="lg" len="lg"/>
              <a:tailEnd type="triangle" w="lg" len="med"/>
            </a:ln>
            <a:effectLst/>
          </c:spPr>
          <c:marker>
            <c:symbol val="circ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decomp!$H$41:$H$76</c:f>
              <c:numCache>
                <c:formatCode>0.000;\-0.000;\-</c:formatCode>
                <c:ptCount val="36"/>
                <c:pt idx="0">
                  <c:v>6.7512921648542283</c:v>
                </c:pt>
                <c:pt idx="1">
                  <c:v>6.7629359391273534</c:v>
                </c:pt>
                <c:pt idx="2">
                  <c:v>6.7745972043524949</c:v>
                </c:pt>
                <c:pt idx="3">
                  <c:v>6.7862759868040721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55-478E-B650-EF3E1E7F2223}"/>
            </c:ext>
          </c:extLst>
        </c:ser>
        <c:ser>
          <c:idx val="1"/>
          <c:order val="1"/>
          <c:tx>
            <c:strRef>
              <c:f>decomp!$I$40</c:f>
              <c:strCache>
                <c:ptCount val="1"/>
                <c:pt idx="0">
                  <c:v>I+II:T2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  <a:tailEnd type="triangle" w="lg" len="med"/>
            </a:ln>
            <a:effectLst/>
          </c:spPr>
          <c:marker>
            <c:symbol val="circle"/>
            <c:size val="6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decomp!$I$41:$I$76</c:f>
              <c:numCache>
                <c:formatCode>General</c:formatCode>
                <c:ptCount val="36"/>
                <c:pt idx="4" formatCode="0.000;\-0.000;\-">
                  <c:v>0.4047790445977888</c:v>
                </c:pt>
                <c:pt idx="5" formatCode="0.000;\-0.000;\-">
                  <c:v>0.56849915867798506</c:v>
                </c:pt>
                <c:pt idx="6" formatCode="0.000;\-0.000;\-">
                  <c:v>0.75130004980814591</c:v>
                </c:pt>
                <c:pt idx="7" formatCode="0.000;\-0.000;\-">
                  <c:v>0.95540548905559453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55-478E-B650-EF3E1E7F2223}"/>
            </c:ext>
          </c:extLst>
        </c:ser>
        <c:ser>
          <c:idx val="2"/>
          <c:order val="2"/>
          <c:tx>
            <c:strRef>
              <c:f>decomp!$J$40</c:f>
              <c:strCache>
                <c:ptCount val="1"/>
                <c:pt idx="0">
                  <c:v>I+II:T3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circle"/>
            <c:size val="6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decomp!$J$41:$J$76</c:f>
              <c:numCache>
                <c:formatCode>General</c:formatCode>
                <c:ptCount val="36"/>
                <c:pt idx="8" formatCode="0.000;\-0.000;\-">
                  <c:v>4.8294662256083107</c:v>
                </c:pt>
                <c:pt idx="9" formatCode="0.000;\-0.000;\-">
                  <c:v>4.2630250849382394</c:v>
                </c:pt>
                <c:pt idx="10" formatCode="0.000;\-0.000;\-">
                  <c:v>3.7516242435727811</c:v>
                </c:pt>
                <c:pt idx="11" formatCode="0.000;\-0.000;\-">
                  <c:v>3.2899155120355186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B55-478E-B650-EF3E1E7F2223}"/>
            </c:ext>
          </c:extLst>
        </c:ser>
        <c:ser>
          <c:idx val="3"/>
          <c:order val="3"/>
          <c:tx>
            <c:strRef>
              <c:f>decomp!$K$40</c:f>
              <c:strCache>
                <c:ptCount val="1"/>
                <c:pt idx="0">
                  <c:v>III:T1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triangl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decomp!$K$41:$K$76</c:f>
              <c:numCache>
                <c:formatCode>General</c:formatCode>
                <c:ptCount val="36"/>
                <c:pt idx="12" formatCode="0.000;\-0.000;\-">
                  <c:v>1.1988760069162412</c:v>
                </c:pt>
                <c:pt idx="13" formatCode="0.000;\-0.000;\-">
                  <c:v>1.2035591296591592</c:v>
                </c:pt>
                <c:pt idx="14" formatCode="0.000;\-0.000;\-">
                  <c:v>1.2082522264245119</c:v>
                </c:pt>
                <c:pt idx="15" formatCode="0.000;\-0.000;\-">
                  <c:v>1.2129553184547763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B55-478E-B650-EF3E1E7F2223}"/>
            </c:ext>
          </c:extLst>
        </c:ser>
        <c:ser>
          <c:idx val="4"/>
          <c:order val="4"/>
          <c:tx>
            <c:strRef>
              <c:f>decomp!$L$40</c:f>
              <c:strCache>
                <c:ptCount val="1"/>
                <c:pt idx="0">
                  <c:v>III:T2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  <a:tailEnd type="triangle" w="lg" len="med"/>
            </a:ln>
            <a:effectLst/>
          </c:spPr>
          <c:marker>
            <c:symbol val="triangle"/>
            <c:size val="6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decomp!$L$41:$L$76</c:f>
              <c:numCache>
                <c:formatCode>General</c:formatCode>
                <c:ptCount val="36"/>
                <c:pt idx="16" formatCode="0.000;\-0.000;\-">
                  <c:v>-4.8306814505816309E-3</c:v>
                </c:pt>
                <c:pt idx="17" formatCode="0.000;\-0.000;\-">
                  <c:v>0.32144879368079882</c:v>
                </c:pt>
                <c:pt idx="18" formatCode="0.000;\-0.000;\-">
                  <c:v>0.75470332713409882</c:v>
                </c:pt>
                <c:pt idx="19" formatCode="0.000;\-0.000;\-">
                  <c:v>1.3300061122150582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B55-478E-B650-EF3E1E7F2223}"/>
            </c:ext>
          </c:extLst>
        </c:ser>
        <c:ser>
          <c:idx val="5"/>
          <c:order val="5"/>
          <c:tx>
            <c:strRef>
              <c:f>decomp!$M$40</c:f>
              <c:strCache>
                <c:ptCount val="1"/>
                <c:pt idx="0">
                  <c:v>III:T3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triangle"/>
            <c:size val="8"/>
            <c:spPr>
              <a:solidFill>
                <a:schemeClr val="bg1"/>
              </a:solidFill>
              <a:ln w="19050">
                <a:solidFill>
                  <a:schemeClr val="tx1"/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decomp!$M$41:$M$76</c:f>
              <c:numCache>
                <c:formatCode>General</c:formatCode>
                <c:ptCount val="36"/>
                <c:pt idx="20" formatCode="0.000;\-0.000;\-">
                  <c:v>0.97942029982538559</c:v>
                </c:pt>
                <c:pt idx="21" formatCode="0.000;\-0.000;\-">
                  <c:v>1.7467832761000945</c:v>
                </c:pt>
                <c:pt idx="22" formatCode="0.000;\-0.000;\-">
                  <c:v>1.6363374500391257</c:v>
                </c:pt>
                <c:pt idx="23" formatCode="0.000;\-0.000;\-">
                  <c:v>1.5303325569780135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B55-478E-B650-EF3E1E7F2223}"/>
            </c:ext>
          </c:extLst>
        </c:ser>
        <c:ser>
          <c:idx val="6"/>
          <c:order val="6"/>
          <c:tx>
            <c:strRef>
              <c:f>decomp!$N$40</c:f>
              <c:strCache>
                <c:ptCount val="1"/>
                <c:pt idx="0">
                  <c:v>VI:T1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square"/>
            <c:size val="6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decomp!$N$41:$N$76</c:f>
              <c:numCache>
                <c:formatCode>General</c:formatCode>
                <c:ptCount val="36"/>
                <c:pt idx="24" formatCode="0.000;\-0.000;\-">
                  <c:v>0.64082833143949913</c:v>
                </c:pt>
                <c:pt idx="25" formatCode="0.000;\-0.000;\-">
                  <c:v>0.51509671684801428</c:v>
                </c:pt>
                <c:pt idx="26" formatCode="0.000;\-0.000;\-">
                  <c:v>0.39899952811624928</c:v>
                </c:pt>
                <c:pt idx="27" formatCode="0.000;\-0.000;\-">
                  <c:v>0.29179850890391901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0B55-478E-B650-EF3E1E7F2223}"/>
            </c:ext>
          </c:extLst>
        </c:ser>
        <c:ser>
          <c:idx val="7"/>
          <c:order val="7"/>
          <c:tx>
            <c:strRef>
              <c:f>decomp!$O$40</c:f>
              <c:strCache>
                <c:ptCount val="1"/>
                <c:pt idx="0">
                  <c:v>VI:T2</c:v>
                </c:pt>
              </c:strCache>
            </c:strRef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  <a:tailEnd type="triangle" w="lg" len="med"/>
            </a:ln>
            <a:effectLst/>
          </c:spPr>
          <c:marker>
            <c:symbol val="square"/>
            <c:size val="6"/>
            <c:spPr>
              <a:solidFill>
                <a:schemeClr val="bg1">
                  <a:lumMod val="75000"/>
                </a:schemeClr>
              </a:solidFill>
              <a:ln w="9525">
                <a:solidFill>
                  <a:schemeClr val="bg1">
                    <a:lumMod val="75000"/>
                  </a:schemeClr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decomp!$O$41:$O$76</c:f>
              <c:numCache>
                <c:formatCode>General</c:formatCode>
                <c:ptCount val="36"/>
                <c:pt idx="28" formatCode="0.000;\-0.000;\-">
                  <c:v>7.3395979555445301E-2</c:v>
                </c:pt>
                <c:pt idx="29" formatCode="0.000;\-0.000;\-">
                  <c:v>0.16725363334738508</c:v>
                </c:pt>
                <c:pt idx="30" formatCode="0.000;\-0.000;\-">
                  <c:v>0.26931819245955557</c:v>
                </c:pt>
                <c:pt idx="31" formatCode="0.000;\-0.000;\-">
                  <c:v>0.3803072679999917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0B55-478E-B650-EF3E1E7F2223}"/>
            </c:ext>
          </c:extLst>
        </c:ser>
        <c:ser>
          <c:idx val="8"/>
          <c:order val="8"/>
          <c:tx>
            <c:strRef>
              <c:f>decomp!$P$40</c:f>
              <c:strCache>
                <c:ptCount val="1"/>
                <c:pt idx="0">
                  <c:v>VI:T3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  <a:tailEnd type="triangle" w="lg" len="med"/>
            </a:ln>
            <a:effectLst/>
          </c:spPr>
          <c:marker>
            <c:symbol val="square"/>
            <c:size val="6"/>
            <c:spPr>
              <a:solidFill>
                <a:schemeClr val="bg1"/>
              </a:solidFill>
              <a:ln w="15875">
                <a:solidFill>
                  <a:schemeClr val="tx1"/>
                </a:solidFill>
              </a:ln>
              <a:effectLst/>
            </c:spPr>
          </c:marker>
          <c:xVal>
            <c:numRef>
              <c:f>decomp!$G$41:$G$76</c:f>
              <c:numCache>
                <c:formatCode>0.000;\-0.000;\-</c:formatCode>
                <c:ptCount val="36"/>
                <c:pt idx="0">
                  <c:v>2.2147480744119975E-2</c:v>
                </c:pt>
                <c:pt idx="1">
                  <c:v>1.1496283108424571E-2</c:v>
                </c:pt>
                <c:pt idx="2">
                  <c:v>1.5368480065429324E-2</c:v>
                </c:pt>
                <c:pt idx="3">
                  <c:v>1.6315962808684466E-2</c:v>
                </c:pt>
                <c:pt idx="4">
                  <c:v>-0.16444713481424178</c:v>
                </c:pt>
                <c:pt idx="5">
                  <c:v>-0.20216485109107016</c:v>
                </c:pt>
                <c:pt idx="6">
                  <c:v>-0.27221459199190323</c:v>
                </c:pt>
                <c:pt idx="7">
                  <c:v>-0.23450521620777165</c:v>
                </c:pt>
                <c:pt idx="8">
                  <c:v>0.22058135715705138</c:v>
                </c:pt>
                <c:pt idx="9">
                  <c:v>0.28088840283909411</c:v>
                </c:pt>
                <c:pt idx="10">
                  <c:v>0.31856782837017783</c:v>
                </c:pt>
                <c:pt idx="11">
                  <c:v>0.31001524933902308</c:v>
                </c:pt>
                <c:pt idx="12">
                  <c:v>7.556648174924234E-2</c:v>
                </c:pt>
                <c:pt idx="13">
                  <c:v>3.9144419166645461E-2</c:v>
                </c:pt>
                <c:pt idx="14">
                  <c:v>5.2115114109081158E-2</c:v>
                </c:pt>
                <c:pt idx="15">
                  <c:v>5.5582130503288141E-2</c:v>
                </c:pt>
                <c:pt idx="16">
                  <c:v>-0.13536440000087233</c:v>
                </c:pt>
                <c:pt idx="17">
                  <c:v>-0.15474266795937155</c:v>
                </c:pt>
                <c:pt idx="18">
                  <c:v>-0.19897830546126696</c:v>
                </c:pt>
                <c:pt idx="19">
                  <c:v>-0.18507939752786681</c:v>
                </c:pt>
                <c:pt idx="20">
                  <c:v>0.38545902787891539</c:v>
                </c:pt>
                <c:pt idx="21">
                  <c:v>0.45480916310284564</c:v>
                </c:pt>
                <c:pt idx="22">
                  <c:v>0.48284204108913015</c:v>
                </c:pt>
                <c:pt idx="23">
                  <c:v>0.48346351415328853</c:v>
                </c:pt>
                <c:pt idx="24">
                  <c:v>9.9234135575903937E-2</c:v>
                </c:pt>
                <c:pt idx="25">
                  <c:v>5.4995163288070609E-2</c:v>
                </c:pt>
                <c:pt idx="26">
                  <c:v>7.8407586746015168E-2</c:v>
                </c:pt>
                <c:pt idx="27">
                  <c:v>9.0330066558381689E-2</c:v>
                </c:pt>
                <c:pt idx="28">
                  <c:v>-0.11617960533026488</c:v>
                </c:pt>
                <c:pt idx="29">
                  <c:v>-0.10532658597283708</c:v>
                </c:pt>
                <c:pt idx="30">
                  <c:v>-0.10226757010277136</c:v>
                </c:pt>
                <c:pt idx="31">
                  <c:v>-0.10008555174865774</c:v>
                </c:pt>
                <c:pt idx="32">
                  <c:v>0.49529148901825937</c:v>
                </c:pt>
                <c:pt idx="33">
                  <c:v>0.63710661667068791</c:v>
                </c:pt>
                <c:pt idx="34">
                  <c:v>0.70144487833529923</c:v>
                </c:pt>
                <c:pt idx="35">
                  <c:v>0.78467679632767817</c:v>
                </c:pt>
              </c:numCache>
            </c:numRef>
          </c:xVal>
          <c:yVal>
            <c:numRef>
              <c:f>decomp!$P$41:$P$76</c:f>
              <c:numCache>
                <c:formatCode>General</c:formatCode>
                <c:ptCount val="36"/>
                <c:pt idx="32" formatCode="0.000;\-0.000;\-">
                  <c:v>1.0929630460934128</c:v>
                </c:pt>
                <c:pt idx="33" formatCode="0.000;\-0.000;\-">
                  <c:v>0.64347162094557264</c:v>
                </c:pt>
                <c:pt idx="34" formatCode="0.000;\-0.000;\-">
                  <c:v>0.29051440917457927</c:v>
                </c:pt>
                <c:pt idx="35" formatCode="0.000;\-0.000;\-">
                  <c:v>1.335941494931836E-2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0B55-478E-B650-EF3E1E7F22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394512"/>
        <c:axId val="1773394992"/>
      </c:scatterChart>
      <c:valAx>
        <c:axId val="1773394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Weight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3394992"/>
        <c:crosses val="autoZero"/>
        <c:crossBetween val="midCat"/>
      </c:valAx>
      <c:valAx>
        <c:axId val="17733949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Effect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 alt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733945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r"/>
      <c:overlay val="1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477363</xdr:colOff>
      <xdr:row>114</xdr:row>
      <xdr:rowOff>69215</xdr:rowOff>
    </xdr:from>
    <xdr:to>
      <xdr:col>14</xdr:col>
      <xdr:colOff>254791</xdr:colOff>
      <xdr:row>128</xdr:row>
      <xdr:rowOff>145415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C1C9252-8DE0-33AC-E6E4-6CDC43BC2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250153</xdr:colOff>
      <xdr:row>113</xdr:row>
      <xdr:rowOff>158115</xdr:rowOff>
    </xdr:from>
    <xdr:to>
      <xdr:col>22</xdr:col>
      <xdr:colOff>26388</xdr:colOff>
      <xdr:row>128</xdr:row>
      <xdr:rowOff>43815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7A744D82-9F97-E798-C5DC-AF2EAC7CEE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97753</xdr:colOff>
      <xdr:row>113</xdr:row>
      <xdr:rowOff>148590</xdr:rowOff>
    </xdr:from>
    <xdr:to>
      <xdr:col>29</xdr:col>
      <xdr:colOff>485176</xdr:colOff>
      <xdr:row>128</xdr:row>
      <xdr:rowOff>34290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937E44E-39CE-4248-25EA-532BC952D6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171450</xdr:colOff>
      <xdr:row>130</xdr:row>
      <xdr:rowOff>85725</xdr:rowOff>
    </xdr:from>
    <xdr:to>
      <xdr:col>21</xdr:col>
      <xdr:colOff>349250</xdr:colOff>
      <xdr:row>144</xdr:row>
      <xdr:rowOff>161925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0691730F-54FE-F923-06E8-871D030B4D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323850</xdr:colOff>
      <xdr:row>43</xdr:row>
      <xdr:rowOff>180975</xdr:rowOff>
    </xdr:from>
    <xdr:to>
      <xdr:col>21</xdr:col>
      <xdr:colOff>571500</xdr:colOff>
      <xdr:row>62</xdr:row>
      <xdr:rowOff>66675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BF09D42-F9FC-2AD7-1656-98C2089B8E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43"/>
  <sheetViews>
    <sheetView topLeftCell="K114" zoomScale="120" zoomScaleNormal="120" workbookViewId="0">
      <selection activeCell="W134" sqref="W134"/>
    </sheetView>
  </sheetViews>
  <sheetFormatPr defaultRowHeight="15" x14ac:dyDescent="0.25"/>
  <cols>
    <col min="5" max="5" width="11.7109375" customWidth="1"/>
  </cols>
  <sheetData>
    <row r="1" spans="1:36" x14ac:dyDescent="0.25">
      <c r="A1" t="s">
        <v>131</v>
      </c>
      <c r="J1">
        <v>1</v>
      </c>
      <c r="Q1">
        <v>2</v>
      </c>
      <c r="X1">
        <v>3</v>
      </c>
      <c r="AE1">
        <v>4</v>
      </c>
    </row>
    <row r="2" spans="1:36" x14ac:dyDescent="0.25">
      <c r="B2" t="s">
        <v>52</v>
      </c>
      <c r="C2">
        <v>5262</v>
      </c>
      <c r="D2">
        <v>4628</v>
      </c>
    </row>
    <row r="3" spans="1:36" x14ac:dyDescent="0.25">
      <c r="B3" t="s">
        <v>52</v>
      </c>
      <c r="C3">
        <v>-1503.1838147692793</v>
      </c>
      <c r="D3">
        <v>-3860.5439196278144</v>
      </c>
      <c r="J3">
        <v>4</v>
      </c>
      <c r="K3">
        <v>5</v>
      </c>
      <c r="L3">
        <v>6</v>
      </c>
      <c r="M3">
        <v>7</v>
      </c>
      <c r="N3">
        <v>8</v>
      </c>
      <c r="O3">
        <v>9</v>
      </c>
      <c r="Q3">
        <v>4</v>
      </c>
      <c r="R3">
        <v>5</v>
      </c>
      <c r="S3">
        <v>6</v>
      </c>
      <c r="T3">
        <v>7</v>
      </c>
      <c r="U3">
        <v>8</v>
      </c>
      <c r="V3">
        <v>9</v>
      </c>
      <c r="X3">
        <v>4</v>
      </c>
      <c r="Y3">
        <v>5</v>
      </c>
      <c r="Z3">
        <v>6</v>
      </c>
      <c r="AA3">
        <v>7</v>
      </c>
      <c r="AB3">
        <v>8</v>
      </c>
      <c r="AC3">
        <v>9</v>
      </c>
      <c r="AE3">
        <v>4</v>
      </c>
      <c r="AF3">
        <v>5</v>
      </c>
      <c r="AG3">
        <v>6</v>
      </c>
      <c r="AH3">
        <v>7</v>
      </c>
      <c r="AI3">
        <v>8</v>
      </c>
      <c r="AJ3">
        <v>9</v>
      </c>
    </row>
    <row r="4" spans="1:36" x14ac:dyDescent="0.25">
      <c r="C4" t="s">
        <v>77</v>
      </c>
      <c r="D4" t="s">
        <v>78</v>
      </c>
      <c r="E4" t="s">
        <v>79</v>
      </c>
      <c r="F4" t="s">
        <v>80</v>
      </c>
    </row>
    <row r="5" spans="1:36" s="1" customFormat="1" x14ac:dyDescent="0.25">
      <c r="A5" s="1" t="s">
        <v>53</v>
      </c>
      <c r="B5" s="1" t="s">
        <v>56</v>
      </c>
      <c r="C5" s="1">
        <v>-0.17657366891357126</v>
      </c>
      <c r="D5" s="1">
        <v>2.6606146943502194E-2</v>
      </c>
      <c r="E5" s="1">
        <v>-6.6365742205559926</v>
      </c>
      <c r="F5" s="1">
        <v>3.2105731091404547E-11</v>
      </c>
      <c r="I5" s="1" t="s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Q5" s="1">
        <v>2</v>
      </c>
      <c r="R5" s="1">
        <v>2</v>
      </c>
      <c r="S5" s="1">
        <v>2</v>
      </c>
      <c r="T5" s="1">
        <v>2</v>
      </c>
      <c r="U5" s="1">
        <v>2</v>
      </c>
      <c r="V5" s="1">
        <v>2</v>
      </c>
      <c r="X5" s="1">
        <v>2</v>
      </c>
      <c r="Y5" s="1">
        <v>2</v>
      </c>
      <c r="Z5" s="1">
        <v>2</v>
      </c>
      <c r="AA5" s="1">
        <v>2</v>
      </c>
      <c r="AB5" s="1">
        <v>2</v>
      </c>
      <c r="AC5" s="1">
        <v>2</v>
      </c>
      <c r="AE5" s="1">
        <v>2</v>
      </c>
      <c r="AF5" s="1">
        <v>2</v>
      </c>
      <c r="AG5" s="1">
        <v>2</v>
      </c>
      <c r="AH5" s="1">
        <v>2</v>
      </c>
      <c r="AI5" s="1">
        <v>2</v>
      </c>
      <c r="AJ5" s="1">
        <v>2</v>
      </c>
    </row>
    <row r="6" spans="1:36" x14ac:dyDescent="0.25">
      <c r="A6" t="s">
        <v>53</v>
      </c>
      <c r="B6" t="s">
        <v>57</v>
      </c>
      <c r="C6">
        <v>0</v>
      </c>
      <c r="I6" t="s">
        <v>3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t="s">
        <v>53</v>
      </c>
      <c r="B7" t="s">
        <v>58</v>
      </c>
      <c r="C7">
        <v>1.0209467005775883</v>
      </c>
      <c r="D7">
        <v>0.13916433778516227</v>
      </c>
      <c r="E7">
        <v>7.3362667248393425</v>
      </c>
      <c r="F7">
        <v>2.1963410655172195E-13</v>
      </c>
      <c r="I7" t="s">
        <v>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 x14ac:dyDescent="0.25">
      <c r="A8" t="s">
        <v>53</v>
      </c>
      <c r="B8" t="s">
        <v>59</v>
      </c>
      <c r="C8">
        <v>1.4487814292419539</v>
      </c>
      <c r="D8">
        <v>0.26082106666854293</v>
      </c>
      <c r="E8">
        <v>5.5546948248743142</v>
      </c>
      <c r="F8">
        <v>2.7809718612942933E-8</v>
      </c>
      <c r="I8" t="s">
        <v>5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</row>
    <row r="9" spans="1:36" x14ac:dyDescent="0.25">
      <c r="A9" t="s">
        <v>53</v>
      </c>
      <c r="B9" t="s">
        <v>60</v>
      </c>
      <c r="C9">
        <v>0</v>
      </c>
      <c r="I9" t="s">
        <v>6</v>
      </c>
      <c r="J9" cm="1">
        <f t="array" ref="J9:N13">_xlfn.MUNIT(5)</f>
        <v>1</v>
      </c>
      <c r="K9">
        <v>0</v>
      </c>
      <c r="L9">
        <v>0</v>
      </c>
      <c r="M9">
        <v>0</v>
      </c>
      <c r="N9">
        <v>0</v>
      </c>
      <c r="Q9" cm="1">
        <f t="array" ref="Q9:U13">_xlfn.MUNIT(5)</f>
        <v>1</v>
      </c>
      <c r="R9">
        <v>0</v>
      </c>
      <c r="S9">
        <v>0</v>
      </c>
      <c r="T9">
        <v>0</v>
      </c>
      <c r="U9">
        <v>0</v>
      </c>
      <c r="X9" cm="1">
        <f t="array" ref="X9:AB13">_xlfn.MUNIT(5)</f>
        <v>1</v>
      </c>
      <c r="Y9">
        <v>0</v>
      </c>
      <c r="Z9">
        <v>0</v>
      </c>
      <c r="AA9">
        <v>0</v>
      </c>
      <c r="AB9">
        <v>0</v>
      </c>
      <c r="AE9" cm="1">
        <f t="array" ref="AE9:AI13">_xlfn.MUNIT(5)</f>
        <v>1</v>
      </c>
      <c r="AF9">
        <v>0</v>
      </c>
      <c r="AG9">
        <v>0</v>
      </c>
      <c r="AH9">
        <v>0</v>
      </c>
      <c r="AI9">
        <v>0</v>
      </c>
    </row>
    <row r="10" spans="1:36" x14ac:dyDescent="0.25">
      <c r="A10" t="s">
        <v>53</v>
      </c>
      <c r="B10" t="s">
        <v>61</v>
      </c>
      <c r="C10">
        <v>1.0935170396659115</v>
      </c>
      <c r="D10">
        <v>0.13719090346252308</v>
      </c>
      <c r="E10">
        <v>7.9707692862058552</v>
      </c>
      <c r="F10">
        <v>1.5768965691308408E-15</v>
      </c>
      <c r="I10" t="s">
        <v>7</v>
      </c>
      <c r="J10">
        <v>0</v>
      </c>
      <c r="K10">
        <v>1</v>
      </c>
      <c r="L10">
        <v>0</v>
      </c>
      <c r="M10">
        <v>0</v>
      </c>
      <c r="N10">
        <v>0</v>
      </c>
      <c r="Q10">
        <v>0</v>
      </c>
      <c r="R10">
        <v>1</v>
      </c>
      <c r="S10">
        <v>0</v>
      </c>
      <c r="T10">
        <v>0</v>
      </c>
      <c r="U10">
        <v>0</v>
      </c>
      <c r="X10">
        <v>0</v>
      </c>
      <c r="Y10">
        <v>1</v>
      </c>
      <c r="Z10">
        <v>0</v>
      </c>
      <c r="AA10">
        <v>0</v>
      </c>
      <c r="AB10">
        <v>0</v>
      </c>
      <c r="AE10">
        <v>0</v>
      </c>
      <c r="AF10">
        <v>1</v>
      </c>
      <c r="AG10">
        <v>0</v>
      </c>
      <c r="AH10">
        <v>0</v>
      </c>
      <c r="AI10">
        <v>0</v>
      </c>
    </row>
    <row r="11" spans="1:36" x14ac:dyDescent="0.25">
      <c r="A11" t="s">
        <v>53</v>
      </c>
      <c r="B11" t="s">
        <v>62</v>
      </c>
      <c r="C11">
        <v>1.7279237565607488</v>
      </c>
      <c r="D11">
        <v>0.22292262350375477</v>
      </c>
      <c r="E11">
        <v>7.7512265440014652</v>
      </c>
      <c r="F11">
        <v>9.1009154764544485E-15</v>
      </c>
      <c r="I11" t="s">
        <v>8</v>
      </c>
      <c r="J11">
        <v>0</v>
      </c>
      <c r="K11">
        <v>0</v>
      </c>
      <c r="L11">
        <v>1</v>
      </c>
      <c r="M11">
        <v>0</v>
      </c>
      <c r="N11">
        <v>0</v>
      </c>
      <c r="Q11">
        <v>0</v>
      </c>
      <c r="R11">
        <v>0</v>
      </c>
      <c r="S11">
        <v>1</v>
      </c>
      <c r="T11">
        <v>0</v>
      </c>
      <c r="U11">
        <v>0</v>
      </c>
      <c r="X11">
        <v>0</v>
      </c>
      <c r="Y11">
        <v>0</v>
      </c>
      <c r="Z11">
        <v>1</v>
      </c>
      <c r="AA11">
        <v>0</v>
      </c>
      <c r="AB11">
        <v>0</v>
      </c>
      <c r="AE11">
        <v>0</v>
      </c>
      <c r="AF11">
        <v>0</v>
      </c>
      <c r="AG11">
        <v>1</v>
      </c>
      <c r="AH11">
        <v>0</v>
      </c>
      <c r="AI11">
        <v>0</v>
      </c>
    </row>
    <row r="12" spans="1:36" x14ac:dyDescent="0.25">
      <c r="A12" t="s">
        <v>53</v>
      </c>
      <c r="B12" t="s">
        <v>63</v>
      </c>
      <c r="C12">
        <v>1.4147540488259978</v>
      </c>
      <c r="D12">
        <v>0.24014322870937327</v>
      </c>
      <c r="E12">
        <v>5.8912926940703576</v>
      </c>
      <c r="F12">
        <v>3.8318615176056688E-9</v>
      </c>
      <c r="I12" t="s">
        <v>9</v>
      </c>
      <c r="J12">
        <v>0</v>
      </c>
      <c r="K12">
        <v>0</v>
      </c>
      <c r="L12">
        <v>0</v>
      </c>
      <c r="M12">
        <v>1</v>
      </c>
      <c r="N12">
        <v>0</v>
      </c>
      <c r="Q12">
        <v>0</v>
      </c>
      <c r="R12">
        <v>0</v>
      </c>
      <c r="S12">
        <v>0</v>
      </c>
      <c r="T12">
        <v>1</v>
      </c>
      <c r="U12">
        <v>0</v>
      </c>
      <c r="X12">
        <v>0</v>
      </c>
      <c r="Y12">
        <v>0</v>
      </c>
      <c r="Z12">
        <v>0</v>
      </c>
      <c r="AA12">
        <v>1</v>
      </c>
      <c r="AB12">
        <v>0</v>
      </c>
      <c r="AE12">
        <v>0</v>
      </c>
      <c r="AF12">
        <v>0</v>
      </c>
      <c r="AG12">
        <v>0</v>
      </c>
      <c r="AH12">
        <v>1</v>
      </c>
      <c r="AI12">
        <v>0</v>
      </c>
    </row>
    <row r="13" spans="1:36" x14ac:dyDescent="0.25">
      <c r="A13" t="s">
        <v>53</v>
      </c>
      <c r="B13" t="s">
        <v>64</v>
      </c>
      <c r="C13">
        <v>1.3928516359466259</v>
      </c>
      <c r="D13">
        <v>0.31337064250070423</v>
      </c>
      <c r="E13">
        <v>4.4447419350824982</v>
      </c>
      <c r="F13">
        <v>8.7997431758195105E-6</v>
      </c>
      <c r="I13" t="s">
        <v>10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Q13">
        <v>0</v>
      </c>
      <c r="R13">
        <v>0</v>
      </c>
      <c r="S13">
        <v>0</v>
      </c>
      <c r="T13">
        <v>0</v>
      </c>
      <c r="U13">
        <v>1</v>
      </c>
      <c r="V13">
        <v>1</v>
      </c>
      <c r="X13">
        <v>0</v>
      </c>
      <c r="Y13">
        <v>0</v>
      </c>
      <c r="Z13">
        <v>0</v>
      </c>
      <c r="AA13">
        <v>0</v>
      </c>
      <c r="AB13">
        <v>1</v>
      </c>
      <c r="AC13">
        <v>1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1</v>
      </c>
    </row>
    <row r="14" spans="1:36" x14ac:dyDescent="0.25">
      <c r="A14" t="s">
        <v>53</v>
      </c>
      <c r="B14" t="s">
        <v>65</v>
      </c>
      <c r="C14">
        <v>0</v>
      </c>
    </row>
    <row r="15" spans="1:36" x14ac:dyDescent="0.25">
      <c r="A15" t="s">
        <v>53</v>
      </c>
      <c r="B15" t="s">
        <v>66</v>
      </c>
      <c r="C15">
        <v>2.0403543359335865</v>
      </c>
      <c r="D15">
        <v>1.2015180696295016</v>
      </c>
      <c r="E15">
        <v>1.6981470254232192</v>
      </c>
      <c r="F15">
        <v>8.9480015954859451E-2</v>
      </c>
      <c r="I15" t="s">
        <v>11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t="s">
        <v>53</v>
      </c>
      <c r="B16" t="s">
        <v>67</v>
      </c>
      <c r="C16">
        <v>0.77730874632849112</v>
      </c>
      <c r="D16">
        <v>0.85161830282053652</v>
      </c>
      <c r="E16">
        <v>0.91274311948682385</v>
      </c>
      <c r="F16">
        <v>0.36137766007836863</v>
      </c>
      <c r="I16" t="s">
        <v>12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Q16" s="4">
        <v>1</v>
      </c>
      <c r="R16" s="4">
        <v>1</v>
      </c>
      <c r="S16" s="4">
        <v>1</v>
      </c>
      <c r="T16" s="4">
        <v>1</v>
      </c>
      <c r="U16" s="4">
        <v>1</v>
      </c>
      <c r="V16" s="4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t="s">
        <v>53</v>
      </c>
      <c r="B17" t="s">
        <v>68</v>
      </c>
      <c r="C17">
        <v>0.89381078469600794</v>
      </c>
      <c r="D17">
        <v>0.55103664679735609</v>
      </c>
      <c r="E17">
        <v>1.6220532516137844</v>
      </c>
      <c r="F17">
        <v>0.10479194655831943</v>
      </c>
      <c r="I17" t="s">
        <v>13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X17" s="4">
        <v>1</v>
      </c>
      <c r="Y17" s="4">
        <v>1</v>
      </c>
      <c r="Z17" s="4">
        <v>1</v>
      </c>
      <c r="AA17" s="4">
        <v>1</v>
      </c>
      <c r="AB17" s="4">
        <v>1</v>
      </c>
      <c r="AC17" s="4">
        <v>1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t="s">
        <v>53</v>
      </c>
      <c r="B18" t="s">
        <v>69</v>
      </c>
      <c r="C18">
        <v>0</v>
      </c>
      <c r="I18" t="s">
        <v>14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E18" s="4">
        <v>1</v>
      </c>
      <c r="AF18" s="4">
        <v>1</v>
      </c>
      <c r="AG18" s="4">
        <v>1</v>
      </c>
      <c r="AH18" s="4">
        <v>1</v>
      </c>
      <c r="AI18" s="4">
        <v>1</v>
      </c>
      <c r="AJ18" s="4">
        <v>1</v>
      </c>
    </row>
    <row r="19" spans="1:36" x14ac:dyDescent="0.25">
      <c r="A19" t="s">
        <v>53</v>
      </c>
      <c r="B19" t="s">
        <v>70</v>
      </c>
      <c r="C19">
        <v>0.51918744558493279</v>
      </c>
      <c r="D19">
        <v>0.55331870851883225</v>
      </c>
      <c r="E19">
        <v>0.93831536434893958</v>
      </c>
      <c r="F19">
        <v>0.34808236619440164</v>
      </c>
      <c r="I19" t="s">
        <v>15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t="s">
        <v>53</v>
      </c>
      <c r="B20" t="s">
        <v>71</v>
      </c>
      <c r="C20">
        <v>1.5010448965084352E-3</v>
      </c>
      <c r="D20">
        <v>0.25203530114424583</v>
      </c>
      <c r="E20">
        <v>5.9556930703502974E-3</v>
      </c>
      <c r="F20">
        <v>0.99524807254233638</v>
      </c>
      <c r="I20" t="s">
        <v>16</v>
      </c>
      <c r="J20">
        <f>J15*J$3</f>
        <v>4</v>
      </c>
      <c r="K20">
        <f t="shared" ref="K20:O20" si="0">K15*K$3</f>
        <v>5</v>
      </c>
      <c r="L20">
        <f t="shared" si="0"/>
        <v>6</v>
      </c>
      <c r="M20">
        <f t="shared" si="0"/>
        <v>7</v>
      </c>
      <c r="N20">
        <f t="shared" si="0"/>
        <v>8</v>
      </c>
      <c r="O20">
        <f t="shared" si="0"/>
        <v>9</v>
      </c>
      <c r="Q20">
        <f>Q15*Q$3</f>
        <v>0</v>
      </c>
      <c r="R20">
        <f t="shared" ref="R20:V21" si="1">R15*R$3</f>
        <v>0</v>
      </c>
      <c r="S20">
        <f t="shared" si="1"/>
        <v>0</v>
      </c>
      <c r="T20">
        <f t="shared" si="1"/>
        <v>0</v>
      </c>
      <c r="U20">
        <f t="shared" si="1"/>
        <v>0</v>
      </c>
      <c r="V20">
        <f t="shared" si="1"/>
        <v>0</v>
      </c>
      <c r="X20">
        <f>X15*X$3</f>
        <v>0</v>
      </c>
      <c r="Y20">
        <f t="shared" ref="Y20:AC20" si="2">Y15*Y$3</f>
        <v>0</v>
      </c>
      <c r="Z20">
        <f t="shared" si="2"/>
        <v>0</v>
      </c>
      <c r="AA20">
        <f t="shared" si="2"/>
        <v>0</v>
      </c>
      <c r="AB20">
        <f t="shared" si="2"/>
        <v>0</v>
      </c>
      <c r="AC20">
        <f t="shared" si="2"/>
        <v>0</v>
      </c>
      <c r="AE20">
        <f>AE15*AE$3</f>
        <v>0</v>
      </c>
      <c r="AF20">
        <f t="shared" ref="AF20:AJ20" si="3">AF15*AF$3</f>
        <v>0</v>
      </c>
      <c r="AG20">
        <f t="shared" si="3"/>
        <v>0</v>
      </c>
      <c r="AH20">
        <f t="shared" si="3"/>
        <v>0</v>
      </c>
      <c r="AI20">
        <f t="shared" si="3"/>
        <v>0</v>
      </c>
      <c r="AJ20">
        <f t="shared" si="3"/>
        <v>0</v>
      </c>
    </row>
    <row r="21" spans="1:36" x14ac:dyDescent="0.25">
      <c r="A21" t="s">
        <v>53</v>
      </c>
      <c r="B21" t="s">
        <v>72</v>
      </c>
      <c r="C21">
        <v>2.1275155063404938E-3</v>
      </c>
      <c r="D21">
        <v>0.17189679875396871</v>
      </c>
      <c r="E21">
        <v>1.2376702310701841E-2</v>
      </c>
      <c r="F21">
        <v>0.99012507242472514</v>
      </c>
      <c r="I21" t="s">
        <v>12</v>
      </c>
      <c r="J21">
        <f t="shared" ref="J21:O24" si="4">J16*J$3</f>
        <v>0</v>
      </c>
      <c r="K21">
        <f t="shared" si="4"/>
        <v>0</v>
      </c>
      <c r="L21">
        <f t="shared" si="4"/>
        <v>0</v>
      </c>
      <c r="M21">
        <f t="shared" si="4"/>
        <v>0</v>
      </c>
      <c r="N21">
        <f t="shared" si="4"/>
        <v>0</v>
      </c>
      <c r="O21">
        <f t="shared" si="4"/>
        <v>0</v>
      </c>
      <c r="Q21">
        <f>Q16*Q$3</f>
        <v>4</v>
      </c>
      <c r="R21">
        <f t="shared" si="1"/>
        <v>5</v>
      </c>
      <c r="S21">
        <f t="shared" si="1"/>
        <v>6</v>
      </c>
      <c r="T21">
        <f t="shared" si="1"/>
        <v>7</v>
      </c>
      <c r="U21">
        <f t="shared" si="1"/>
        <v>8</v>
      </c>
      <c r="V21">
        <f t="shared" si="1"/>
        <v>9</v>
      </c>
      <c r="X21">
        <f t="shared" ref="X21:AC23" si="5">X16*X$3</f>
        <v>0</v>
      </c>
      <c r="Y21">
        <f t="shared" si="5"/>
        <v>0</v>
      </c>
      <c r="Z21">
        <f t="shared" si="5"/>
        <v>0</v>
      </c>
      <c r="AA21">
        <f t="shared" si="5"/>
        <v>0</v>
      </c>
      <c r="AB21">
        <f t="shared" si="5"/>
        <v>0</v>
      </c>
      <c r="AC21">
        <f t="shared" si="5"/>
        <v>0</v>
      </c>
      <c r="AE21">
        <f t="shared" ref="AE21:AJ23" si="6">AE16*AE$3</f>
        <v>0</v>
      </c>
      <c r="AF21">
        <f t="shared" si="6"/>
        <v>0</v>
      </c>
      <c r="AG21">
        <f t="shared" si="6"/>
        <v>0</v>
      </c>
      <c r="AH21">
        <f t="shared" si="6"/>
        <v>0</v>
      </c>
      <c r="AI21">
        <f t="shared" si="6"/>
        <v>0</v>
      </c>
      <c r="AJ21">
        <f t="shared" si="6"/>
        <v>0</v>
      </c>
    </row>
    <row r="22" spans="1:36" x14ac:dyDescent="0.25">
      <c r="A22" t="s">
        <v>53</v>
      </c>
      <c r="B22" t="s">
        <v>73</v>
      </c>
      <c r="C22">
        <v>-7.9721918044781681E-2</v>
      </c>
      <c r="D22">
        <v>0.1168991583719481</v>
      </c>
      <c r="E22">
        <v>-0.68197170240630478</v>
      </c>
      <c r="F22">
        <v>0.49525684428253591</v>
      </c>
      <c r="I22" t="s">
        <v>13</v>
      </c>
      <c r="J22">
        <f t="shared" si="4"/>
        <v>0</v>
      </c>
      <c r="K22">
        <f t="shared" si="4"/>
        <v>0</v>
      </c>
      <c r="L22">
        <f t="shared" si="4"/>
        <v>0</v>
      </c>
      <c r="M22">
        <f t="shared" si="4"/>
        <v>0</v>
      </c>
      <c r="N22">
        <f t="shared" si="4"/>
        <v>0</v>
      </c>
      <c r="O22">
        <f t="shared" si="4"/>
        <v>0</v>
      </c>
      <c r="Q22">
        <f t="shared" ref="Q22:V23" si="7">Q17*Q$3</f>
        <v>0</v>
      </c>
      <c r="R22">
        <f t="shared" si="7"/>
        <v>0</v>
      </c>
      <c r="S22">
        <f t="shared" si="7"/>
        <v>0</v>
      </c>
      <c r="T22">
        <f t="shared" si="7"/>
        <v>0</v>
      </c>
      <c r="U22">
        <f t="shared" si="7"/>
        <v>0</v>
      </c>
      <c r="V22">
        <f t="shared" si="7"/>
        <v>0</v>
      </c>
      <c r="X22">
        <f t="shared" si="5"/>
        <v>4</v>
      </c>
      <c r="Y22">
        <f t="shared" si="5"/>
        <v>5</v>
      </c>
      <c r="Z22">
        <f t="shared" si="5"/>
        <v>6</v>
      </c>
      <c r="AA22">
        <f t="shared" si="5"/>
        <v>7</v>
      </c>
      <c r="AB22">
        <f t="shared" si="5"/>
        <v>8</v>
      </c>
      <c r="AC22">
        <f t="shared" si="5"/>
        <v>9</v>
      </c>
      <c r="AE22">
        <f t="shared" si="6"/>
        <v>0</v>
      </c>
      <c r="AF22">
        <f t="shared" si="6"/>
        <v>0</v>
      </c>
      <c r="AG22">
        <f t="shared" si="6"/>
        <v>0</v>
      </c>
      <c r="AH22">
        <f t="shared" si="6"/>
        <v>0</v>
      </c>
      <c r="AI22">
        <f t="shared" si="6"/>
        <v>0</v>
      </c>
      <c r="AJ22">
        <f t="shared" si="6"/>
        <v>0</v>
      </c>
    </row>
    <row r="23" spans="1:36" x14ac:dyDescent="0.25">
      <c r="A23" t="s">
        <v>53</v>
      </c>
      <c r="B23" t="s">
        <v>74</v>
      </c>
      <c r="C23">
        <v>0</v>
      </c>
      <c r="I23" t="s">
        <v>14</v>
      </c>
      <c r="J23">
        <f t="shared" si="4"/>
        <v>0</v>
      </c>
      <c r="K23">
        <f t="shared" si="4"/>
        <v>0</v>
      </c>
      <c r="L23">
        <f t="shared" si="4"/>
        <v>0</v>
      </c>
      <c r="M23">
        <f t="shared" si="4"/>
        <v>0</v>
      </c>
      <c r="N23">
        <f t="shared" si="4"/>
        <v>0</v>
      </c>
      <c r="O23">
        <f t="shared" si="4"/>
        <v>0</v>
      </c>
      <c r="Q23">
        <f>Q18*Q$3</f>
        <v>0</v>
      </c>
      <c r="R23">
        <f t="shared" si="7"/>
        <v>0</v>
      </c>
      <c r="S23">
        <f t="shared" si="7"/>
        <v>0</v>
      </c>
      <c r="T23">
        <f t="shared" si="7"/>
        <v>0</v>
      </c>
      <c r="U23">
        <f t="shared" si="7"/>
        <v>0</v>
      </c>
      <c r="V23">
        <f t="shared" si="7"/>
        <v>0</v>
      </c>
      <c r="X23">
        <f>X18*X$3</f>
        <v>0</v>
      </c>
      <c r="Y23">
        <f t="shared" si="5"/>
        <v>0</v>
      </c>
      <c r="Z23">
        <f t="shared" si="5"/>
        <v>0</v>
      </c>
      <c r="AA23">
        <f t="shared" si="5"/>
        <v>0</v>
      </c>
      <c r="AB23">
        <f t="shared" si="5"/>
        <v>0</v>
      </c>
      <c r="AC23">
        <f t="shared" si="5"/>
        <v>0</v>
      </c>
      <c r="AE23">
        <f>AE18*AE$3</f>
        <v>4</v>
      </c>
      <c r="AF23">
        <f t="shared" si="6"/>
        <v>5</v>
      </c>
      <c r="AG23">
        <f t="shared" si="6"/>
        <v>6</v>
      </c>
      <c r="AH23">
        <f t="shared" si="6"/>
        <v>7</v>
      </c>
      <c r="AI23">
        <f t="shared" si="6"/>
        <v>8</v>
      </c>
      <c r="AJ23">
        <f t="shared" si="6"/>
        <v>9</v>
      </c>
    </row>
    <row r="24" spans="1:36" x14ac:dyDescent="0.25">
      <c r="A24" t="s">
        <v>53</v>
      </c>
      <c r="B24" t="s">
        <v>75</v>
      </c>
      <c r="C24">
        <v>-0.18077756428050373</v>
      </c>
      <c r="D24">
        <v>0.11559942062311543</v>
      </c>
      <c r="E24">
        <v>-1.5638275979763447</v>
      </c>
      <c r="F24">
        <v>0.11785806123468899</v>
      </c>
      <c r="I24" t="s">
        <v>15</v>
      </c>
      <c r="J24">
        <f t="shared" si="4"/>
        <v>0</v>
      </c>
      <c r="K24">
        <f t="shared" si="4"/>
        <v>0</v>
      </c>
      <c r="L24">
        <f t="shared" si="4"/>
        <v>0</v>
      </c>
      <c r="M24">
        <f t="shared" si="4"/>
        <v>0</v>
      </c>
      <c r="N24">
        <f t="shared" si="4"/>
        <v>0</v>
      </c>
      <c r="O24">
        <f t="shared" si="4"/>
        <v>0</v>
      </c>
      <c r="Q24">
        <f t="shared" ref="Q24:V24" si="8">Q19*Q$3</f>
        <v>0</v>
      </c>
      <c r="R24">
        <f t="shared" si="8"/>
        <v>0</v>
      </c>
      <c r="S24">
        <f t="shared" si="8"/>
        <v>0</v>
      </c>
      <c r="T24">
        <f t="shared" si="8"/>
        <v>0</v>
      </c>
      <c r="U24">
        <f t="shared" si="8"/>
        <v>0</v>
      </c>
      <c r="V24">
        <f t="shared" si="8"/>
        <v>0</v>
      </c>
      <c r="X24">
        <f t="shared" ref="X24:AC24" si="9">X19*X$3</f>
        <v>0</v>
      </c>
      <c r="Y24">
        <f t="shared" si="9"/>
        <v>0</v>
      </c>
      <c r="Z24">
        <f t="shared" si="9"/>
        <v>0</v>
      </c>
      <c r="AA24">
        <f t="shared" si="9"/>
        <v>0</v>
      </c>
      <c r="AB24">
        <f t="shared" si="9"/>
        <v>0</v>
      </c>
      <c r="AC24">
        <f t="shared" si="9"/>
        <v>0</v>
      </c>
      <c r="AE24">
        <f t="shared" ref="AE24:AJ24" si="10">AE19*AE$3</f>
        <v>0</v>
      </c>
      <c r="AF24">
        <f t="shared" si="10"/>
        <v>0</v>
      </c>
      <c r="AG24">
        <f t="shared" si="10"/>
        <v>0</v>
      </c>
      <c r="AH24">
        <f t="shared" si="10"/>
        <v>0</v>
      </c>
      <c r="AI24">
        <f t="shared" si="10"/>
        <v>0</v>
      </c>
      <c r="AJ24">
        <f t="shared" si="10"/>
        <v>0</v>
      </c>
    </row>
    <row r="25" spans="1:36" x14ac:dyDescent="0.25">
      <c r="A25" t="s">
        <v>53</v>
      </c>
      <c r="B25" t="s">
        <v>76</v>
      </c>
      <c r="C25">
        <v>1.3523074970442475</v>
      </c>
      <c r="D25">
        <v>0.1474202357866107</v>
      </c>
      <c r="E25">
        <v>9.1731470230565826</v>
      </c>
      <c r="F25">
        <v>4.5940725013084302E-20</v>
      </c>
      <c r="I25" t="s">
        <v>17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</row>
    <row r="26" spans="1:36" s="1" customFormat="1" x14ac:dyDescent="0.25">
      <c r="A26" s="1" t="s">
        <v>54</v>
      </c>
      <c r="B26" s="1" t="s">
        <v>56</v>
      </c>
      <c r="C26" s="1">
        <v>-0.1661296935343306</v>
      </c>
      <c r="D26" s="1">
        <v>4.588534140244372E-2</v>
      </c>
      <c r="E26" s="1">
        <v>-3.6205395548279178</v>
      </c>
      <c r="F26" s="1">
        <v>2.9398930007948869E-4</v>
      </c>
      <c r="I26" s="1" t="str" cm="1">
        <f t="array" ref="I26:I46">I$5:I$25</f>
        <v>兄弟数</v>
      </c>
      <c r="J26" s="1" cm="1">
        <f t="array" ref="J26:O46">J$5:O$25</f>
        <v>2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Q26" s="1" cm="1">
        <f t="array" ref="Q26:V46">Q$5:V$25</f>
        <v>2</v>
      </c>
      <c r="R26" s="1">
        <v>2</v>
      </c>
      <c r="S26" s="1">
        <v>2</v>
      </c>
      <c r="T26" s="1">
        <v>2</v>
      </c>
      <c r="U26" s="1">
        <v>2</v>
      </c>
      <c r="V26" s="1">
        <v>2</v>
      </c>
      <c r="X26" s="1" cm="1">
        <f t="array" ref="X26:AC46">X$5:AC$25</f>
        <v>2</v>
      </c>
      <c r="Y26" s="1">
        <v>2</v>
      </c>
      <c r="Z26" s="1">
        <v>2</v>
      </c>
      <c r="AA26" s="1">
        <v>2</v>
      </c>
      <c r="AB26" s="1">
        <v>2</v>
      </c>
      <c r="AC26" s="1">
        <v>2</v>
      </c>
      <c r="AE26" s="1" cm="1">
        <f t="array" ref="AE26:AJ46">AE$5:AJ$25</f>
        <v>2</v>
      </c>
      <c r="AF26" s="1">
        <v>2</v>
      </c>
      <c r="AG26" s="1">
        <v>2</v>
      </c>
      <c r="AH26" s="1">
        <v>2</v>
      </c>
      <c r="AI26" s="1">
        <v>2</v>
      </c>
      <c r="AJ26" s="1">
        <v>2</v>
      </c>
    </row>
    <row r="27" spans="1:36" x14ac:dyDescent="0.25">
      <c r="A27" t="s">
        <v>54</v>
      </c>
      <c r="B27" t="s">
        <v>57</v>
      </c>
      <c r="C27">
        <v>0</v>
      </c>
      <c r="I27" t="str">
        <v>父中卒ref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t="s">
        <v>54</v>
      </c>
      <c r="B28" t="s">
        <v>58</v>
      </c>
      <c r="C28">
        <v>0.56594148835998381</v>
      </c>
      <c r="D28">
        <v>0.11840064299254949</v>
      </c>
      <c r="E28">
        <v>4.7798852612278164</v>
      </c>
      <c r="F28">
        <v>1.7539526422613855E-6</v>
      </c>
      <c r="I28" t="str">
        <v>父高卒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 t="s">
        <v>54</v>
      </c>
      <c r="B29" t="s">
        <v>59</v>
      </c>
      <c r="C29">
        <v>0.74404339675048969</v>
      </c>
      <c r="D29">
        <v>0.17269405372675053</v>
      </c>
      <c r="E29">
        <v>4.3084482684491894</v>
      </c>
      <c r="F29">
        <v>1.6440391827737125E-5</v>
      </c>
      <c r="I29" t="str">
        <v>父大卒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</row>
    <row r="30" spans="1:36" x14ac:dyDescent="0.25">
      <c r="A30" t="s">
        <v>54</v>
      </c>
      <c r="B30" t="s">
        <v>60</v>
      </c>
      <c r="C30">
        <v>0</v>
      </c>
      <c r="I30" t="str">
        <v>世代40s ref</v>
      </c>
      <c r="J30">
        <v>1</v>
      </c>
      <c r="K30">
        <v>0</v>
      </c>
      <c r="L30">
        <v>0</v>
      </c>
      <c r="M30">
        <v>0</v>
      </c>
      <c r="N30">
        <v>0</v>
      </c>
      <c r="O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E30">
        <v>1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t="s">
        <v>54</v>
      </c>
      <c r="B31" t="s">
        <v>61</v>
      </c>
      <c r="C31">
        <v>0.37266022921004244</v>
      </c>
      <c r="D31">
        <v>0.18364853739300036</v>
      </c>
      <c r="E31">
        <v>2.0292033603979367</v>
      </c>
      <c r="F31">
        <v>4.2437581454258425E-2</v>
      </c>
      <c r="I31" t="str">
        <v xml:space="preserve"> 50s</v>
      </c>
      <c r="J31">
        <v>0</v>
      </c>
      <c r="K31">
        <v>1</v>
      </c>
      <c r="L31">
        <v>0</v>
      </c>
      <c r="M31">
        <v>0</v>
      </c>
      <c r="N31">
        <v>0</v>
      </c>
      <c r="O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t="s">
        <v>54</v>
      </c>
      <c r="B32" t="s">
        <v>62</v>
      </c>
      <c r="C32">
        <v>0.54588425052037137</v>
      </c>
      <c r="D32">
        <v>0.19755831656368703</v>
      </c>
      <c r="E32">
        <v>2.7631550015987014</v>
      </c>
      <c r="F32">
        <v>5.7245574248559932E-3</v>
      </c>
      <c r="I32" t="str">
        <v xml:space="preserve"> 60s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X32">
        <v>0</v>
      </c>
      <c r="Y32">
        <v>0</v>
      </c>
      <c r="Z32">
        <v>1</v>
      </c>
      <c r="AA32">
        <v>0</v>
      </c>
      <c r="AB32">
        <v>0</v>
      </c>
      <c r="AC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</row>
    <row r="33" spans="1:36" x14ac:dyDescent="0.25">
      <c r="A33" t="s">
        <v>54</v>
      </c>
      <c r="B33" t="s">
        <v>63</v>
      </c>
      <c r="C33">
        <v>1.0132468612114376</v>
      </c>
      <c r="D33">
        <v>0.21654652711710595</v>
      </c>
      <c r="E33">
        <v>4.6791185003095661</v>
      </c>
      <c r="F33">
        <v>2.8811090009150834E-6</v>
      </c>
      <c r="I33" t="str">
        <v xml:space="preserve"> 70s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0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</row>
    <row r="34" spans="1:36" x14ac:dyDescent="0.25">
      <c r="A34" t="s">
        <v>54</v>
      </c>
      <c r="B34" t="s">
        <v>64</v>
      </c>
      <c r="C34">
        <v>0.97928249337494</v>
      </c>
      <c r="D34">
        <v>0.263516709835801</v>
      </c>
      <c r="E34">
        <v>3.7162064370989505</v>
      </c>
      <c r="F34">
        <v>2.0223636627050582E-4</v>
      </c>
      <c r="I34" t="str">
        <v xml:space="preserve"> 80-90s</v>
      </c>
      <c r="J34">
        <v>0</v>
      </c>
      <c r="K34">
        <v>0</v>
      </c>
      <c r="L34">
        <v>0</v>
      </c>
      <c r="M34">
        <v>0</v>
      </c>
      <c r="N34">
        <v>1</v>
      </c>
      <c r="O34">
        <v>1</v>
      </c>
      <c r="Q34">
        <v>0</v>
      </c>
      <c r="R34">
        <v>0</v>
      </c>
      <c r="S34">
        <v>0</v>
      </c>
      <c r="T34">
        <v>0</v>
      </c>
      <c r="U34">
        <v>1</v>
      </c>
      <c r="V34">
        <v>1</v>
      </c>
      <c r="X34">
        <v>0</v>
      </c>
      <c r="Y34">
        <v>0</v>
      </c>
      <c r="Z34">
        <v>0</v>
      </c>
      <c r="AA34">
        <v>0</v>
      </c>
      <c r="AB34">
        <v>1</v>
      </c>
      <c r="AC34">
        <v>1</v>
      </c>
      <c r="AE34">
        <v>0</v>
      </c>
      <c r="AF34">
        <v>0</v>
      </c>
      <c r="AG34">
        <v>0</v>
      </c>
      <c r="AH34">
        <v>0</v>
      </c>
      <c r="AI34">
        <v>1</v>
      </c>
      <c r="AJ34">
        <v>1</v>
      </c>
    </row>
    <row r="35" spans="1:36" x14ac:dyDescent="0.25">
      <c r="A35" t="s">
        <v>54</v>
      </c>
      <c r="B35" t="s">
        <v>65</v>
      </c>
      <c r="C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t="s">
        <v>54</v>
      </c>
      <c r="B36" t="s">
        <v>66</v>
      </c>
      <c r="C36">
        <v>-0.21131590058830704</v>
      </c>
      <c r="D36">
        <v>0.71347625846975105</v>
      </c>
      <c r="E36">
        <v>-0.29617790091787072</v>
      </c>
      <c r="F36">
        <v>0.7670942246400565</v>
      </c>
      <c r="I36" t="str">
        <v>EGP I+II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t="s">
        <v>54</v>
      </c>
      <c r="B37" t="s">
        <v>67</v>
      </c>
      <c r="C37">
        <v>-1.4226978498155582</v>
      </c>
      <c r="D37">
        <v>0.85600177280304834</v>
      </c>
      <c r="E37">
        <v>-1.6620267562727316</v>
      </c>
      <c r="F37">
        <v>9.6507409820368331E-2</v>
      </c>
      <c r="I37" t="str">
        <v xml:space="preserve"> IIIab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t="s">
        <v>54</v>
      </c>
      <c r="B38" t="s">
        <v>68</v>
      </c>
      <c r="C38">
        <v>-0.34830372664473325</v>
      </c>
      <c r="D38">
        <v>0.61350462949321238</v>
      </c>
      <c r="E38">
        <v>-0.56772795167405787</v>
      </c>
      <c r="F38">
        <v>0.5702197087110179</v>
      </c>
      <c r="I38" t="str">
        <v xml:space="preserve"> IVab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t="s">
        <v>54</v>
      </c>
      <c r="B39" t="s">
        <v>69</v>
      </c>
      <c r="C39">
        <v>0</v>
      </c>
      <c r="I39" t="str">
        <v xml:space="preserve"> V+VI+VIIab+IVc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</row>
    <row r="40" spans="1:36" x14ac:dyDescent="0.25">
      <c r="A40" t="s">
        <v>54</v>
      </c>
      <c r="B40" t="s">
        <v>70</v>
      </c>
      <c r="C40">
        <v>-1.0735331260778469</v>
      </c>
      <c r="D40">
        <v>0.86308418734508607</v>
      </c>
      <c r="E40">
        <v>-1.2438336164866119</v>
      </c>
      <c r="F40">
        <v>0.21356080531796312</v>
      </c>
      <c r="I40" t="str">
        <v xml:space="preserve"> job+abs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t="s">
        <v>54</v>
      </c>
      <c r="B41" t="s">
        <v>71</v>
      </c>
      <c r="C41">
        <v>0.11023918547506552</v>
      </c>
      <c r="D41">
        <v>0.11371970398829626</v>
      </c>
      <c r="E41">
        <v>0.96939388345937882</v>
      </c>
      <c r="F41">
        <v>0.33234870294481583</v>
      </c>
      <c r="I41" t="str">
        <v>世代× I+II</v>
      </c>
      <c r="J41">
        <v>4</v>
      </c>
      <c r="K41">
        <v>5</v>
      </c>
      <c r="L41">
        <v>6</v>
      </c>
      <c r="M41">
        <v>7</v>
      </c>
      <c r="N41">
        <v>8</v>
      </c>
      <c r="O41">
        <v>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t="s">
        <v>54</v>
      </c>
      <c r="B42" t="s">
        <v>72</v>
      </c>
      <c r="C42">
        <v>0.283571092582249</v>
      </c>
      <c r="D42">
        <v>0.13077189597257116</v>
      </c>
      <c r="E42">
        <v>2.1684406307126327</v>
      </c>
      <c r="F42">
        <v>3.0125177132975842E-2</v>
      </c>
      <c r="I42" t="str">
        <v xml:space="preserve"> IIIab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Q42">
        <v>4</v>
      </c>
      <c r="R42">
        <v>5</v>
      </c>
      <c r="S42">
        <v>6</v>
      </c>
      <c r="T42">
        <v>7</v>
      </c>
      <c r="U42">
        <v>8</v>
      </c>
      <c r="V42">
        <v>9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x14ac:dyDescent="0.25">
      <c r="A43" t="s">
        <v>54</v>
      </c>
      <c r="B43" t="s">
        <v>73</v>
      </c>
      <c r="C43">
        <v>8.3826232375030993E-2</v>
      </c>
      <c r="D43">
        <v>9.8736614874709694E-2</v>
      </c>
      <c r="E43">
        <v>0.84898831584818868</v>
      </c>
      <c r="F43">
        <v>0.39588779386723683</v>
      </c>
      <c r="I43" t="str">
        <v xml:space="preserve"> IVab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X43">
        <v>4</v>
      </c>
      <c r="Y43">
        <v>5</v>
      </c>
      <c r="Z43">
        <v>6</v>
      </c>
      <c r="AA43">
        <v>7</v>
      </c>
      <c r="AB43">
        <v>8</v>
      </c>
      <c r="AC43">
        <v>9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A44" t="s">
        <v>54</v>
      </c>
      <c r="B44" t="s">
        <v>74</v>
      </c>
      <c r="C44">
        <v>0</v>
      </c>
      <c r="I44" t="str">
        <v xml:space="preserve"> V+VI+VIIab+IVc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E44">
        <v>4</v>
      </c>
      <c r="AF44">
        <v>5</v>
      </c>
      <c r="AG44">
        <v>6</v>
      </c>
      <c r="AH44">
        <v>7</v>
      </c>
      <c r="AI44">
        <v>8</v>
      </c>
      <c r="AJ44">
        <v>9</v>
      </c>
    </row>
    <row r="45" spans="1:36" x14ac:dyDescent="0.25">
      <c r="A45" t="s">
        <v>54</v>
      </c>
      <c r="B45" t="s">
        <v>75</v>
      </c>
      <c r="C45">
        <v>0.12887377283308851</v>
      </c>
      <c r="D45">
        <v>0.13919431772120258</v>
      </c>
      <c r="E45">
        <v>0.92585512787393043</v>
      </c>
      <c r="F45">
        <v>0.35452127340155687</v>
      </c>
      <c r="I45" t="str">
        <v xml:space="preserve"> job+abs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t="s">
        <v>54</v>
      </c>
      <c r="B46" t="s">
        <v>76</v>
      </c>
      <c r="C46">
        <v>-1.8415330315361049</v>
      </c>
      <c r="D46">
        <v>0.24283120716812132</v>
      </c>
      <c r="E46">
        <v>-7.5835929533601556</v>
      </c>
      <c r="F46">
        <v>3.3611453693522785E-14</v>
      </c>
      <c r="I46" t="str">
        <v>定数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</row>
    <row r="47" spans="1:36" s="1" customFormat="1" x14ac:dyDescent="0.25">
      <c r="A47" s="1" t="s">
        <v>55</v>
      </c>
      <c r="B47" s="1" t="s">
        <v>56</v>
      </c>
      <c r="C47" s="1">
        <v>-0.21835343062953627</v>
      </c>
      <c r="D47" s="1">
        <v>2.985560225819198E-2</v>
      </c>
      <c r="E47" s="1">
        <v>-7.3136501732978099</v>
      </c>
      <c r="F47" s="1">
        <v>2.5998145093702902E-13</v>
      </c>
      <c r="I47" s="1" t="str" cm="1">
        <f t="array" ref="I47:I67">I$5:I$25</f>
        <v>兄弟数</v>
      </c>
      <c r="J47" s="1" cm="1">
        <f t="array" ref="J47:O67">J$5:O$25</f>
        <v>2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Q47" s="1" cm="1">
        <f t="array" ref="Q47:V67">Q$5:V$25</f>
        <v>2</v>
      </c>
      <c r="R47" s="1">
        <v>2</v>
      </c>
      <c r="S47" s="1">
        <v>2</v>
      </c>
      <c r="T47" s="1">
        <v>2</v>
      </c>
      <c r="U47" s="1">
        <v>2</v>
      </c>
      <c r="V47" s="1">
        <v>2</v>
      </c>
      <c r="X47" s="1" cm="1">
        <f t="array" ref="X47:AC67">X$5:AC$25</f>
        <v>2</v>
      </c>
      <c r="Y47" s="1">
        <v>2</v>
      </c>
      <c r="Z47" s="1">
        <v>2</v>
      </c>
      <c r="AA47" s="1">
        <v>2</v>
      </c>
      <c r="AB47" s="1">
        <v>2</v>
      </c>
      <c r="AC47" s="1">
        <v>2</v>
      </c>
      <c r="AE47" s="1" cm="1">
        <f t="array" ref="AE47:AJ67">AE$5:AJ$25</f>
        <v>2</v>
      </c>
      <c r="AF47" s="1">
        <v>2</v>
      </c>
      <c r="AG47" s="1">
        <v>2</v>
      </c>
      <c r="AH47" s="1">
        <v>2</v>
      </c>
      <c r="AI47" s="1">
        <v>2</v>
      </c>
      <c r="AJ47" s="1">
        <v>2</v>
      </c>
    </row>
    <row r="48" spans="1:36" x14ac:dyDescent="0.25">
      <c r="A48" t="s">
        <v>55</v>
      </c>
      <c r="B48" t="s">
        <v>57</v>
      </c>
      <c r="C48">
        <v>0</v>
      </c>
      <c r="I48" t="str">
        <v>父中卒ref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t="s">
        <v>55</v>
      </c>
      <c r="B49" t="s">
        <v>58</v>
      </c>
      <c r="C49">
        <v>0.65960380979741517</v>
      </c>
      <c r="D49">
        <v>8.562879085558267E-2</v>
      </c>
      <c r="E49">
        <v>7.7030611223959786</v>
      </c>
      <c r="F49">
        <v>1.3284477692592985E-14</v>
      </c>
      <c r="I49" t="str">
        <v>父高卒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 x14ac:dyDescent="0.25">
      <c r="A50" t="s">
        <v>55</v>
      </c>
      <c r="B50" t="s">
        <v>59</v>
      </c>
      <c r="C50">
        <v>1.6218876953291255</v>
      </c>
      <c r="D50">
        <v>0.11722198224559897</v>
      </c>
      <c r="E50">
        <v>13.836037100370893</v>
      </c>
      <c r="F50">
        <v>1.5449207182713208E-43</v>
      </c>
      <c r="I50" t="str">
        <v>父大卒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</row>
    <row r="51" spans="1:36" x14ac:dyDescent="0.25">
      <c r="A51" t="s">
        <v>55</v>
      </c>
      <c r="B51" t="s">
        <v>60</v>
      </c>
      <c r="C51">
        <v>0</v>
      </c>
      <c r="I51" t="str">
        <v>世代40s ref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A52" t="s">
        <v>55</v>
      </c>
      <c r="B52" t="s">
        <v>61</v>
      </c>
      <c r="C52">
        <v>0.42517030789109961</v>
      </c>
      <c r="D52">
        <v>0.11613568837855989</v>
      </c>
      <c r="E52">
        <v>3.6609789275558415</v>
      </c>
      <c r="F52">
        <v>2.5125342521557862E-4</v>
      </c>
      <c r="I52" t="str">
        <v xml:space="preserve"> 50s</v>
      </c>
      <c r="J52">
        <v>0</v>
      </c>
      <c r="K52">
        <v>1</v>
      </c>
      <c r="L52">
        <v>0</v>
      </c>
      <c r="M52">
        <v>0</v>
      </c>
      <c r="N52">
        <v>0</v>
      </c>
      <c r="O52">
        <v>0</v>
      </c>
      <c r="Q52">
        <v>0</v>
      </c>
      <c r="R52">
        <v>1</v>
      </c>
      <c r="S52">
        <v>0</v>
      </c>
      <c r="T52">
        <v>0</v>
      </c>
      <c r="U52">
        <v>0</v>
      </c>
      <c r="V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t="s">
        <v>55</v>
      </c>
      <c r="B53" t="s">
        <v>62</v>
      </c>
      <c r="C53">
        <v>0.14424888229788826</v>
      </c>
      <c r="D53">
        <v>0.14094053796164699</v>
      </c>
      <c r="E53">
        <v>1.0234733341030779</v>
      </c>
      <c r="F53">
        <v>0.3060841016012682</v>
      </c>
      <c r="I53" t="str">
        <v xml:space="preserve"> 60s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</row>
    <row r="54" spans="1:36" x14ac:dyDescent="0.25">
      <c r="A54" t="s">
        <v>55</v>
      </c>
      <c r="B54" t="s">
        <v>63</v>
      </c>
      <c r="C54">
        <v>0.12454658169195872</v>
      </c>
      <c r="D54">
        <v>0.16897259520584618</v>
      </c>
      <c r="E54">
        <v>0.7370815459171548</v>
      </c>
      <c r="F54">
        <v>0.46107276079598219</v>
      </c>
      <c r="I54" t="str">
        <v xml:space="preserve"> 70s</v>
      </c>
      <c r="J54">
        <v>0</v>
      </c>
      <c r="K54">
        <v>0</v>
      </c>
      <c r="L54">
        <v>0</v>
      </c>
      <c r="M54">
        <v>1</v>
      </c>
      <c r="N54">
        <v>0</v>
      </c>
      <c r="O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0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</row>
    <row r="55" spans="1:36" x14ac:dyDescent="0.25">
      <c r="A55" t="s">
        <v>55</v>
      </c>
      <c r="B55" t="s">
        <v>64</v>
      </c>
      <c r="C55">
        <v>0.54162193336095199</v>
      </c>
      <c r="D55">
        <v>0.20363103986174877</v>
      </c>
      <c r="E55">
        <v>2.6598201027145731</v>
      </c>
      <c r="F55">
        <v>7.8182398140828075E-3</v>
      </c>
      <c r="I55" t="str">
        <v xml:space="preserve"> 80-90s</v>
      </c>
      <c r="J55">
        <v>0</v>
      </c>
      <c r="K55">
        <v>0</v>
      </c>
      <c r="L55">
        <v>0</v>
      </c>
      <c r="M55">
        <v>0</v>
      </c>
      <c r="N55">
        <v>1</v>
      </c>
      <c r="O55">
        <v>1</v>
      </c>
      <c r="Q55">
        <v>0</v>
      </c>
      <c r="R55">
        <v>0</v>
      </c>
      <c r="S55">
        <v>0</v>
      </c>
      <c r="T55">
        <v>0</v>
      </c>
      <c r="U55">
        <v>1</v>
      </c>
      <c r="V55">
        <v>1</v>
      </c>
      <c r="X55">
        <v>0</v>
      </c>
      <c r="Y55">
        <v>0</v>
      </c>
      <c r="Z55">
        <v>0</v>
      </c>
      <c r="AA55">
        <v>0</v>
      </c>
      <c r="AB55">
        <v>1</v>
      </c>
      <c r="AC55">
        <v>1</v>
      </c>
      <c r="AE55">
        <v>0</v>
      </c>
      <c r="AF55">
        <v>0</v>
      </c>
      <c r="AG55">
        <v>0</v>
      </c>
      <c r="AH55">
        <v>0</v>
      </c>
      <c r="AI55">
        <v>1</v>
      </c>
      <c r="AJ55">
        <v>1</v>
      </c>
    </row>
    <row r="56" spans="1:36" x14ac:dyDescent="0.25">
      <c r="A56" t="s">
        <v>55</v>
      </c>
      <c r="B56" t="s">
        <v>65</v>
      </c>
      <c r="C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 x14ac:dyDescent="0.25">
      <c r="A57" t="s">
        <v>55</v>
      </c>
      <c r="B57" t="s">
        <v>66</v>
      </c>
      <c r="C57">
        <v>2.2740227748208146</v>
      </c>
      <c r="D57">
        <v>0.43859750056967606</v>
      </c>
      <c r="E57">
        <v>5.184759994909184</v>
      </c>
      <c r="F57">
        <v>2.162932180390084E-7</v>
      </c>
      <c r="I57" t="str">
        <v>EGP I+II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 x14ac:dyDescent="0.25">
      <c r="A58" t="s">
        <v>55</v>
      </c>
      <c r="B58" t="s">
        <v>67</v>
      </c>
      <c r="C58">
        <v>1.2566698183303291</v>
      </c>
      <c r="D58">
        <v>0.50893937130053202</v>
      </c>
      <c r="E58">
        <v>2.4691935605592152</v>
      </c>
      <c r="F58">
        <v>1.354179474784167E-2</v>
      </c>
      <c r="I58" t="str">
        <v xml:space="preserve"> IIIab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 x14ac:dyDescent="0.25">
      <c r="A59" t="s">
        <v>55</v>
      </c>
      <c r="B59" t="s">
        <v>68</v>
      </c>
      <c r="C59">
        <v>1.9474304915244938</v>
      </c>
      <c r="D59">
        <v>0.41242541091930979</v>
      </c>
      <c r="E59">
        <v>4.7218974388207728</v>
      </c>
      <c r="F59">
        <v>2.3365450676579291E-6</v>
      </c>
      <c r="I59" t="str">
        <v xml:space="preserve"> IVab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 x14ac:dyDescent="0.25">
      <c r="A60" t="s">
        <v>55</v>
      </c>
      <c r="B60" t="s">
        <v>69</v>
      </c>
      <c r="C60">
        <v>0</v>
      </c>
      <c r="I60" t="str">
        <v xml:space="preserve"> V+VI+VIIab+IVc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</row>
    <row r="61" spans="1:36" x14ac:dyDescent="0.25">
      <c r="A61" t="s">
        <v>55</v>
      </c>
      <c r="B61" t="s">
        <v>70</v>
      </c>
      <c r="C61">
        <v>0.22585526344294793</v>
      </c>
      <c r="D61">
        <v>0.53795616246043376</v>
      </c>
      <c r="E61">
        <v>0.41983953192386636</v>
      </c>
      <c r="F61">
        <v>0.67460268364311915</v>
      </c>
      <c r="I61" t="str">
        <v xml:space="preserve"> job+abs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 x14ac:dyDescent="0.25">
      <c r="A62" t="s">
        <v>55</v>
      </c>
      <c r="B62" t="s">
        <v>71</v>
      </c>
      <c r="C62">
        <v>-0.10221946702987957</v>
      </c>
      <c r="D62">
        <v>7.557993133405104E-2</v>
      </c>
      <c r="E62">
        <v>-1.3524683765335284</v>
      </c>
      <c r="F62">
        <v>0.17622552854522508</v>
      </c>
      <c r="I62" t="str">
        <v>世代× I+II</v>
      </c>
      <c r="J62">
        <v>4</v>
      </c>
      <c r="K62">
        <v>5</v>
      </c>
      <c r="L62">
        <v>6</v>
      </c>
      <c r="M62">
        <v>7</v>
      </c>
      <c r="N62">
        <v>8</v>
      </c>
      <c r="O62">
        <v>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 x14ac:dyDescent="0.25">
      <c r="A63" t="s">
        <v>55</v>
      </c>
      <c r="B63" t="s">
        <v>72</v>
      </c>
      <c r="C63">
        <v>-4.1039884847905092E-2</v>
      </c>
      <c r="D63">
        <v>8.5381942252306872E-2</v>
      </c>
      <c r="E63">
        <v>-0.48066234809499508</v>
      </c>
      <c r="F63">
        <v>0.63075649534048117</v>
      </c>
      <c r="I63" t="str">
        <v xml:space="preserve"> IIIab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Q63">
        <v>4</v>
      </c>
      <c r="R63">
        <v>5</v>
      </c>
      <c r="S63">
        <v>6</v>
      </c>
      <c r="T63">
        <v>7</v>
      </c>
      <c r="U63">
        <v>8</v>
      </c>
      <c r="V63">
        <v>9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 x14ac:dyDescent="0.25">
      <c r="A64" t="s">
        <v>55</v>
      </c>
      <c r="B64" t="s">
        <v>73</v>
      </c>
      <c r="C64">
        <v>-0.2417699408336092</v>
      </c>
      <c r="D64">
        <v>7.2342890888150088E-2</v>
      </c>
      <c r="E64">
        <v>-3.3419999928868145</v>
      </c>
      <c r="F64">
        <v>8.3177062852718756E-4</v>
      </c>
      <c r="I64" t="str">
        <v xml:space="preserve"> IVab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X64">
        <v>4</v>
      </c>
      <c r="Y64">
        <v>5</v>
      </c>
      <c r="Z64">
        <v>6</v>
      </c>
      <c r="AA64">
        <v>7</v>
      </c>
      <c r="AB64">
        <v>8</v>
      </c>
      <c r="AC64">
        <v>9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6" x14ac:dyDescent="0.25">
      <c r="A65" t="s">
        <v>55</v>
      </c>
      <c r="B65" t="s">
        <v>74</v>
      </c>
      <c r="C65">
        <v>0</v>
      </c>
      <c r="I65" t="str">
        <v xml:space="preserve"> V+VI+VIIab+IVc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E65">
        <v>4</v>
      </c>
      <c r="AF65">
        <v>5</v>
      </c>
      <c r="AG65">
        <v>6</v>
      </c>
      <c r="AH65">
        <v>7</v>
      </c>
      <c r="AI65">
        <v>8</v>
      </c>
      <c r="AJ65">
        <v>9</v>
      </c>
    </row>
    <row r="66" spans="1:36" x14ac:dyDescent="0.25">
      <c r="A66" t="s">
        <v>55</v>
      </c>
      <c r="B66" t="s">
        <v>75</v>
      </c>
      <c r="C66">
        <v>-1.3008357050012078E-2</v>
      </c>
      <c r="D66">
        <v>9.4562283353639295E-2</v>
      </c>
      <c r="E66">
        <v>-0.13756390591124026</v>
      </c>
      <c r="F66">
        <v>0.89058508316629703</v>
      </c>
      <c r="I66" t="str">
        <v xml:space="preserve"> job+abs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 x14ac:dyDescent="0.25">
      <c r="A67" s="8" t="s">
        <v>55</v>
      </c>
      <c r="B67" s="8" t="s">
        <v>76</v>
      </c>
      <c r="C67" s="8">
        <v>-0.89906750337576091</v>
      </c>
      <c r="D67" s="8">
        <v>0.16178035199383625</v>
      </c>
      <c r="E67" s="8">
        <v>-5.5573343258025236</v>
      </c>
      <c r="F67" s="8">
        <v>2.739257772258332E-8</v>
      </c>
      <c r="I67" t="str">
        <v>定数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</row>
    <row r="68" spans="1:36" s="1" customFormat="1" x14ac:dyDescent="0.25"/>
    <row r="69" spans="1:36" x14ac:dyDescent="0.25">
      <c r="J69" t="str">
        <f t="shared" ref="J69:AJ69" si="11">_xlfn.TEXTJOIN("",TRUE,J70:J71)</f>
        <v>I+II1940s</v>
      </c>
      <c r="K69" t="str">
        <f t="shared" si="11"/>
        <v>I+II1950s</v>
      </c>
      <c r="L69" t="str">
        <f t="shared" si="11"/>
        <v>I+II1960s</v>
      </c>
      <c r="M69" t="str">
        <f t="shared" si="11"/>
        <v>I+II1970s</v>
      </c>
      <c r="N69" t="str">
        <f t="shared" si="11"/>
        <v>I+II1980s</v>
      </c>
      <c r="O69" t="str">
        <f t="shared" si="11"/>
        <v>I+II1990s</v>
      </c>
      <c r="P69" t="str">
        <f t="shared" si="11"/>
        <v/>
      </c>
      <c r="Q69" t="str">
        <f t="shared" si="11"/>
        <v>IIIab1940s</v>
      </c>
      <c r="R69" t="str">
        <f t="shared" si="11"/>
        <v>IIIab1950s</v>
      </c>
      <c r="S69" t="str">
        <f t="shared" si="11"/>
        <v>IIIab1960s</v>
      </c>
      <c r="T69" t="str">
        <f t="shared" si="11"/>
        <v>IIIab1970s</v>
      </c>
      <c r="U69" t="str">
        <f t="shared" si="11"/>
        <v>IIIab1980s</v>
      </c>
      <c r="V69" t="str">
        <f t="shared" si="11"/>
        <v>IIIab1990s</v>
      </c>
      <c r="W69" t="str">
        <f t="shared" si="11"/>
        <v/>
      </c>
      <c r="X69" t="str">
        <f t="shared" si="11"/>
        <v>IVab1940s</v>
      </c>
      <c r="Y69" t="str">
        <f t="shared" si="11"/>
        <v>IVab1950s</v>
      </c>
      <c r="Z69" t="str">
        <f t="shared" si="11"/>
        <v>IVab1960s</v>
      </c>
      <c r="AA69" t="str">
        <f t="shared" si="11"/>
        <v>IVab1970s</v>
      </c>
      <c r="AB69" t="str">
        <f t="shared" si="11"/>
        <v>IVab1980s</v>
      </c>
      <c r="AC69" t="str">
        <f t="shared" si="11"/>
        <v>IVab1990s</v>
      </c>
      <c r="AD69" t="str">
        <f t="shared" si="11"/>
        <v/>
      </c>
      <c r="AE69" t="str">
        <f t="shared" si="11"/>
        <v>V+VI+VIIab1940s</v>
      </c>
      <c r="AF69" t="str">
        <f t="shared" si="11"/>
        <v>V+VI+VIIab1950s</v>
      </c>
      <c r="AG69" t="str">
        <f t="shared" si="11"/>
        <v>V+VI+VIIab1960s</v>
      </c>
      <c r="AH69" t="str">
        <f t="shared" si="11"/>
        <v>V+VI+VIIab1970s</v>
      </c>
      <c r="AI69" t="str">
        <f t="shared" si="11"/>
        <v>V+VI+VIIab1980s</v>
      </c>
      <c r="AJ69" t="str">
        <f t="shared" si="11"/>
        <v>V+VI+VIIab1990s</v>
      </c>
    </row>
    <row r="70" spans="1:36" x14ac:dyDescent="0.25">
      <c r="J70" s="7" t="s">
        <v>87</v>
      </c>
      <c r="K70" s="7" t="s">
        <v>87</v>
      </c>
      <c r="L70" s="7" t="s">
        <v>87</v>
      </c>
      <c r="M70" s="7" t="s">
        <v>87</v>
      </c>
      <c r="N70" s="7" t="s">
        <v>87</v>
      </c>
      <c r="O70" s="7" t="s">
        <v>87</v>
      </c>
      <c r="Q70" s="7" t="s">
        <v>88</v>
      </c>
      <c r="R70" s="7" t="s">
        <v>88</v>
      </c>
      <c r="S70" s="7" t="s">
        <v>88</v>
      </c>
      <c r="T70" s="7" t="s">
        <v>88</v>
      </c>
      <c r="U70" s="7" t="s">
        <v>88</v>
      </c>
      <c r="V70" s="7" t="s">
        <v>88</v>
      </c>
      <c r="X70" s="7" t="s">
        <v>89</v>
      </c>
      <c r="Y70" s="7" t="s">
        <v>89</v>
      </c>
      <c r="Z70" s="7" t="s">
        <v>89</v>
      </c>
      <c r="AA70" s="7" t="s">
        <v>89</v>
      </c>
      <c r="AB70" s="7" t="s">
        <v>89</v>
      </c>
      <c r="AC70" s="7" t="s">
        <v>89</v>
      </c>
      <c r="AE70" s="7" t="s">
        <v>90</v>
      </c>
      <c r="AF70" s="7" t="s">
        <v>90</v>
      </c>
      <c r="AG70" s="7" t="s">
        <v>90</v>
      </c>
      <c r="AH70" s="7" t="s">
        <v>90</v>
      </c>
      <c r="AI70" s="7" t="s">
        <v>90</v>
      </c>
      <c r="AJ70" s="7" t="s">
        <v>90</v>
      </c>
    </row>
    <row r="71" spans="1:36" x14ac:dyDescent="0.25">
      <c r="J71" s="9" t="s">
        <v>81</v>
      </c>
      <c r="K71" s="9" t="s">
        <v>82</v>
      </c>
      <c r="L71" s="9" t="s">
        <v>83</v>
      </c>
      <c r="M71" s="9" t="s">
        <v>84</v>
      </c>
      <c r="N71" s="9" t="s">
        <v>85</v>
      </c>
      <c r="O71" s="9" t="s">
        <v>86</v>
      </c>
      <c r="Q71" s="9" t="s">
        <v>81</v>
      </c>
      <c r="R71" s="9" t="s">
        <v>82</v>
      </c>
      <c r="S71" s="9" t="s">
        <v>83</v>
      </c>
      <c r="T71" s="9" t="s">
        <v>84</v>
      </c>
      <c r="U71" s="9" t="s">
        <v>85</v>
      </c>
      <c r="V71" s="9" t="s">
        <v>86</v>
      </c>
      <c r="X71" s="9" t="s">
        <v>81</v>
      </c>
      <c r="Y71" s="9" t="s">
        <v>82</v>
      </c>
      <c r="Z71" s="9" t="s">
        <v>83</v>
      </c>
      <c r="AA71" s="9" t="s">
        <v>84</v>
      </c>
      <c r="AB71" s="9" t="s">
        <v>85</v>
      </c>
      <c r="AC71" s="9" t="s">
        <v>86</v>
      </c>
      <c r="AE71" s="9" t="s">
        <v>81</v>
      </c>
      <c r="AF71" s="9" t="s">
        <v>82</v>
      </c>
      <c r="AG71" s="9" t="s">
        <v>83</v>
      </c>
      <c r="AH71" s="9" t="s">
        <v>84</v>
      </c>
      <c r="AI71" s="9" t="s">
        <v>85</v>
      </c>
      <c r="AJ71" s="9" t="s">
        <v>86</v>
      </c>
    </row>
    <row r="72" spans="1:36" x14ac:dyDescent="0.25">
      <c r="E72" t="str">
        <f>_xlfn.TEXTJOIN("",TRUE,F72:G72)</f>
        <v>T1xb</v>
      </c>
      <c r="F72" s="7" t="s">
        <v>99</v>
      </c>
      <c r="G72" s="7" t="s">
        <v>121</v>
      </c>
      <c r="H72" t="s">
        <v>18</v>
      </c>
      <c r="I72" t="s">
        <v>19</v>
      </c>
      <c r="J72">
        <f>SUMPRODUCT($C$5:$C$25,J$5:J$25)</f>
        <v>4.494300103978679</v>
      </c>
      <c r="K72">
        <f t="shared" ref="K72:O72" si="12">SUMPRODUCT($C$5:$C$25,K$5:K$25)</f>
        <v>5.5893181885410987</v>
      </c>
      <c r="L72">
        <f t="shared" si="12"/>
        <v>6.2252259503324447</v>
      </c>
      <c r="M72">
        <f t="shared" si="12"/>
        <v>5.9135572874942017</v>
      </c>
      <c r="N72">
        <f t="shared" si="12"/>
        <v>5.8931559195113383</v>
      </c>
      <c r="O72">
        <f t="shared" si="12"/>
        <v>5.8946569644078464</v>
      </c>
      <c r="Q72">
        <f>SUMPRODUCT($C$5:$C$25,Q$5:Q$25)</f>
        <v>3.2337603968129116</v>
      </c>
      <c r="R72">
        <f t="shared" ref="R72:V72" si="13">SUMPRODUCT($C$5:$C$25,R$5:R$25)</f>
        <v>4.3294049519851638</v>
      </c>
      <c r="S72">
        <f t="shared" si="13"/>
        <v>4.9659391843863414</v>
      </c>
      <c r="T72">
        <f t="shared" si="13"/>
        <v>4.6548969921579308</v>
      </c>
      <c r="U72">
        <f t="shared" si="13"/>
        <v>4.6351220947848999</v>
      </c>
      <c r="V72">
        <f t="shared" si="13"/>
        <v>4.6372496102912404</v>
      </c>
      <c r="X72">
        <f>SUMPRODUCT($C$5:$C$25,X$5:X$25)</f>
        <v>3.0228647009759397</v>
      </c>
      <c r="Y72">
        <f t="shared" ref="Y72:AC72" si="14">SUMPRODUCT($C$5:$C$25,Y$5:Y$25)</f>
        <v>4.0366598225970698</v>
      </c>
      <c r="Z72">
        <f t="shared" si="14"/>
        <v>4.5913446214471252</v>
      </c>
      <c r="AA72">
        <f t="shared" si="14"/>
        <v>4.1984529956675924</v>
      </c>
      <c r="AB72">
        <f t="shared" si="14"/>
        <v>4.0968286647434393</v>
      </c>
      <c r="AC72">
        <f t="shared" si="14"/>
        <v>4.0171067466986576</v>
      </c>
      <c r="AE72">
        <f>SUMPRODUCT($C$5:$C$25,AE$5:AE$25)</f>
        <v>2.4479415884590585</v>
      </c>
      <c r="AF72">
        <f t="shared" ref="AF72:AJ72" si="15">SUMPRODUCT($C$5:$C$25,AF$5:AF$25)</f>
        <v>3.5414586281249703</v>
      </c>
      <c r="AG72">
        <f t="shared" si="15"/>
        <v>4.1758653450198073</v>
      </c>
      <c r="AH72">
        <f t="shared" si="15"/>
        <v>3.8626956372850563</v>
      </c>
      <c r="AI72">
        <f t="shared" si="15"/>
        <v>3.8407932244056848</v>
      </c>
      <c r="AJ72">
        <f t="shared" si="15"/>
        <v>3.8407932244056848</v>
      </c>
    </row>
    <row r="73" spans="1:36" x14ac:dyDescent="0.25">
      <c r="E73" t="str">
        <f t="shared" ref="E73:E101" si="16">_xlfn.TEXTJOIN("",TRUE,F73:G73)</f>
        <v>T1lambda</v>
      </c>
      <c r="F73" s="7" t="s">
        <v>99</v>
      </c>
      <c r="G73" s="7" t="s">
        <v>100</v>
      </c>
      <c r="I73" t="s">
        <v>20</v>
      </c>
      <c r="J73">
        <f t="shared" ref="J73:O73" si="17">SUMPRODUCT($C$15:$C$24,J15:J24)</f>
        <v>2.0463585155196204</v>
      </c>
      <c r="K73">
        <f t="shared" si="17"/>
        <v>2.0478595604161285</v>
      </c>
      <c r="L73">
        <f t="shared" si="17"/>
        <v>2.049360605312637</v>
      </c>
      <c r="M73">
        <f t="shared" si="17"/>
        <v>2.0508616502091455</v>
      </c>
      <c r="N73">
        <f t="shared" si="17"/>
        <v>2.0523626951056539</v>
      </c>
      <c r="O73">
        <f t="shared" si="17"/>
        <v>2.0538637400021624</v>
      </c>
      <c r="Q73">
        <f t="shared" ref="Q73:V73" si="18">SUMPRODUCT($C$15:$C$24,Q15:Q24)</f>
        <v>0.78581880835385309</v>
      </c>
      <c r="R73">
        <f t="shared" si="18"/>
        <v>0.78794632386019359</v>
      </c>
      <c r="S73">
        <f t="shared" si="18"/>
        <v>0.79007383936653408</v>
      </c>
      <c r="T73">
        <f t="shared" si="18"/>
        <v>0.79220135487287457</v>
      </c>
      <c r="U73">
        <f t="shared" si="18"/>
        <v>0.79432887037921507</v>
      </c>
      <c r="V73">
        <f t="shared" si="18"/>
        <v>0.79645638588555556</v>
      </c>
      <c r="X73">
        <f t="shared" ref="X73:AC73" si="19">SUMPRODUCT($C$15:$C$24,X15:X24)</f>
        <v>0.57492311251688122</v>
      </c>
      <c r="Y73">
        <f t="shared" si="19"/>
        <v>0.49520119447209954</v>
      </c>
      <c r="Z73">
        <f t="shared" si="19"/>
        <v>0.41547927642731786</v>
      </c>
      <c r="AA73">
        <f t="shared" si="19"/>
        <v>0.33575735838253618</v>
      </c>
      <c r="AB73">
        <f t="shared" si="19"/>
        <v>0.25603544033775449</v>
      </c>
      <c r="AC73">
        <f t="shared" si="19"/>
        <v>0.17631352229297281</v>
      </c>
      <c r="AE73">
        <f t="shared" ref="AE73:AJ73" si="20">SUMPRODUCT($C$15:$C$24,AE15:AE24)</f>
        <v>0</v>
      </c>
      <c r="AF73">
        <f t="shared" si="20"/>
        <v>0</v>
      </c>
      <c r="AG73">
        <f t="shared" si="20"/>
        <v>0</v>
      </c>
      <c r="AH73">
        <f t="shared" si="20"/>
        <v>0</v>
      </c>
      <c r="AI73">
        <f t="shared" si="20"/>
        <v>0</v>
      </c>
      <c r="AJ73">
        <f t="shared" si="20"/>
        <v>0</v>
      </c>
    </row>
    <row r="74" spans="1:36" x14ac:dyDescent="0.25">
      <c r="E74" t="str">
        <f t="shared" si="16"/>
        <v>T1p</v>
      </c>
      <c r="F74" s="7" t="s">
        <v>99</v>
      </c>
      <c r="G74" s="7" t="s">
        <v>112</v>
      </c>
      <c r="I74" t="s">
        <v>21</v>
      </c>
      <c r="J74">
        <f t="shared" ref="J74:O74" si="21">1/(1+EXP(-J72))</f>
        <v>0.98895094803920047</v>
      </c>
      <c r="K74">
        <f t="shared" si="21"/>
        <v>0.99627634213390426</v>
      </c>
      <c r="L74">
        <f t="shared" si="21"/>
        <v>0.9980250315818604</v>
      </c>
      <c r="M74">
        <f t="shared" si="21"/>
        <v>0.997304728124211</v>
      </c>
      <c r="N74">
        <f t="shared" si="21"/>
        <v>0.99724932895471607</v>
      </c>
      <c r="O74">
        <f t="shared" si="21"/>
        <v>0.99725344340648492</v>
      </c>
      <c r="Q74">
        <f t="shared" ref="Q74:V74" si="22">1/(1+EXP(-Q72))</f>
        <v>0.96208516066881034</v>
      </c>
      <c r="R74">
        <f t="shared" si="22"/>
        <v>0.98699594824557346</v>
      </c>
      <c r="S74">
        <f t="shared" si="22"/>
        <v>0.99307686375016602</v>
      </c>
      <c r="T74">
        <f t="shared" si="22"/>
        <v>0.99057478659972209</v>
      </c>
      <c r="U74">
        <f t="shared" si="22"/>
        <v>0.99038835818886706</v>
      </c>
      <c r="V74">
        <f t="shared" si="22"/>
        <v>0.99040858944311849</v>
      </c>
      <c r="X74">
        <f t="shared" ref="X74:AC74" si="23">1/(1+EXP(-X72))</f>
        <v>0.95359645408575677</v>
      </c>
      <c r="Y74">
        <f t="shared" si="23"/>
        <v>0.98264998849439045</v>
      </c>
      <c r="Z74">
        <f t="shared" si="23"/>
        <v>0.98996255601425776</v>
      </c>
      <c r="AA74">
        <f t="shared" si="23"/>
        <v>0.98520343357230999</v>
      </c>
      <c r="AB74">
        <f t="shared" si="23"/>
        <v>0.98364656469666989</v>
      </c>
      <c r="AC74">
        <f t="shared" si="23"/>
        <v>0.98231346316008861</v>
      </c>
      <c r="AE74">
        <f t="shared" ref="AE74:AJ74" si="24">1/(1+EXP(-AE72))</f>
        <v>0.92041079279108962</v>
      </c>
      <c r="AF74">
        <f t="shared" si="24"/>
        <v>0.9718446514051976</v>
      </c>
      <c r="AG74">
        <f t="shared" si="24"/>
        <v>0.98487052480798176</v>
      </c>
      <c r="AH74">
        <f t="shared" si="24"/>
        <v>0.97942110470573474</v>
      </c>
      <c r="AI74">
        <f t="shared" si="24"/>
        <v>0.97897498609254385</v>
      </c>
      <c r="AJ74">
        <f t="shared" si="24"/>
        <v>0.97897498609254385</v>
      </c>
    </row>
    <row r="75" spans="1:36" x14ac:dyDescent="0.25">
      <c r="E75" t="str">
        <f t="shared" si="16"/>
        <v>T1p*</v>
      </c>
      <c r="F75" s="7" t="s">
        <v>99</v>
      </c>
      <c r="G75" s="7" t="s">
        <v>122</v>
      </c>
      <c r="I75" t="s">
        <v>22</v>
      </c>
      <c r="J75" cm="1">
        <f t="array" ref="J75:O75">(J74:O74+$AE74:$AJ74)/2</f>
        <v>0.95468087041514504</v>
      </c>
      <c r="K75">
        <v>0.98406049676955099</v>
      </c>
      <c r="L75">
        <v>0.99144777819492114</v>
      </c>
      <c r="M75">
        <v>0.98836291641497287</v>
      </c>
      <c r="N75">
        <v>0.98811215752363002</v>
      </c>
      <c r="O75">
        <v>0.98811421474951433</v>
      </c>
      <c r="Q75" cm="1">
        <f t="array" ref="Q75:V75">(Q74:V74+$AE74:$AJ74)/2</f>
        <v>0.94124797672994998</v>
      </c>
      <c r="R75">
        <v>0.97942029982538559</v>
      </c>
      <c r="S75">
        <v>0.98897369427907389</v>
      </c>
      <c r="T75">
        <v>0.98499794565272847</v>
      </c>
      <c r="U75">
        <v>0.98468167214070546</v>
      </c>
      <c r="V75">
        <v>0.98469178776783117</v>
      </c>
      <c r="X75" cm="1">
        <f t="array" ref="X75:AC75">(X74:AC74+$AE74:$AJ74)/2</f>
        <v>0.93700362343842314</v>
      </c>
      <c r="Y75">
        <v>0.97724731994979397</v>
      </c>
      <c r="Z75">
        <v>0.9874165404111197</v>
      </c>
      <c r="AA75">
        <v>0.98231226913902236</v>
      </c>
      <c r="AB75">
        <v>0.98131077539460687</v>
      </c>
      <c r="AC75">
        <v>0.98064422462631629</v>
      </c>
      <c r="AE75" cm="1">
        <f t="array" ref="AE75:AJ75">(AE74:AJ74+$AE74:$AJ74)/2</f>
        <v>0.92041079279108962</v>
      </c>
      <c r="AF75">
        <v>0.9718446514051976</v>
      </c>
      <c r="AG75">
        <v>0.98487052480798176</v>
      </c>
      <c r="AH75">
        <v>0.97942110470573474</v>
      </c>
      <c r="AI75">
        <v>0.97897498609254385</v>
      </c>
      <c r="AJ75">
        <v>0.97897498609254385</v>
      </c>
    </row>
    <row r="76" spans="1:36" x14ac:dyDescent="0.25">
      <c r="E76" t="str">
        <f t="shared" si="16"/>
        <v/>
      </c>
    </row>
    <row r="77" spans="1:36" x14ac:dyDescent="0.25">
      <c r="E77" t="str">
        <f t="shared" si="16"/>
        <v>T2xb</v>
      </c>
      <c r="F77" s="7" t="s">
        <v>113</v>
      </c>
      <c r="G77" s="7" t="s">
        <v>121</v>
      </c>
      <c r="H77" t="s">
        <v>23</v>
      </c>
      <c r="I77" t="s">
        <v>19</v>
      </c>
      <c r="J77">
        <f>SUMPRODUCT($C$26:$C$46,J$26:J$46)</f>
        <v>-1.2001081805423213</v>
      </c>
      <c r="K77">
        <f t="shared" ref="K77:O77" si="25">SUMPRODUCT($C$26:$C$46,K$26:K$46)</f>
        <v>-0.71720876585721349</v>
      </c>
      <c r="L77">
        <f t="shared" si="25"/>
        <v>-0.43374555907181911</v>
      </c>
      <c r="M77">
        <f t="shared" si="25"/>
        <v>0.14385623709431261</v>
      </c>
      <c r="N77">
        <f t="shared" si="25"/>
        <v>0.22013105473288075</v>
      </c>
      <c r="O77">
        <f t="shared" si="25"/>
        <v>0.33037024020794625</v>
      </c>
      <c r="Q77">
        <f>SUMPRODUCT($C$26:$C$46,Q$26:Q$46)</f>
        <v>-1.7181625013408386</v>
      </c>
      <c r="R77">
        <f t="shared" ref="R77:V77" si="26">SUMPRODUCT($C$26:$C$46,R$26:R$46)</f>
        <v>-1.0619311795485473</v>
      </c>
      <c r="S77">
        <f t="shared" si="26"/>
        <v>-0.60513606565596945</v>
      </c>
      <c r="T77">
        <f t="shared" si="26"/>
        <v>0.14579763761734577</v>
      </c>
      <c r="U77">
        <f t="shared" si="26"/>
        <v>0.39540436236309739</v>
      </c>
      <c r="V77">
        <f t="shared" si="26"/>
        <v>0.67897545494534617</v>
      </c>
      <c r="X77">
        <f>SUMPRODUCT($C$26:$C$46,X$26:X$46)</f>
        <v>-1.4427478189988858</v>
      </c>
      <c r="Y77">
        <f t="shared" ref="Y77:AC77" si="27">SUMPRODUCT($C$26:$C$46,Y$26:Y$46)</f>
        <v>-0.98626135741381238</v>
      </c>
      <c r="Z77">
        <f t="shared" si="27"/>
        <v>-0.72921110372845233</v>
      </c>
      <c r="AA77">
        <f t="shared" si="27"/>
        <v>-0.17802226066235516</v>
      </c>
      <c r="AB77">
        <f t="shared" si="27"/>
        <v>-0.12816039612382157</v>
      </c>
      <c r="AC77">
        <f t="shared" si="27"/>
        <v>-4.4334163748790623E-2</v>
      </c>
      <c r="AE77">
        <f>SUMPRODUCT($C$26:$C$46,AE$26:AE$46)</f>
        <v>-1.4297490218542763</v>
      </c>
      <c r="AF77">
        <f t="shared" ref="AF77:AJ77" si="28">SUMPRODUCT($C$26:$C$46,AF$26:AF$46)</f>
        <v>-1.0570887926442341</v>
      </c>
      <c r="AG77">
        <f t="shared" si="28"/>
        <v>-0.88386477133390506</v>
      </c>
      <c r="AH77">
        <f t="shared" si="28"/>
        <v>-0.41650216064283896</v>
      </c>
      <c r="AI77">
        <f t="shared" si="28"/>
        <v>-0.45046652847933633</v>
      </c>
      <c r="AJ77">
        <f t="shared" si="28"/>
        <v>-0.45046652847933633</v>
      </c>
    </row>
    <row r="78" spans="1:36" x14ac:dyDescent="0.25">
      <c r="E78" t="str">
        <f t="shared" si="16"/>
        <v>T2lambda</v>
      </c>
      <c r="F78" s="7" t="s">
        <v>113</v>
      </c>
      <c r="G78" s="7" t="s">
        <v>100</v>
      </c>
      <c r="I78" t="s">
        <v>20</v>
      </c>
      <c r="J78">
        <f>SUMPRODUCT($C$36:$C$45,J$36:J$45)</f>
        <v>0.22964084131195503</v>
      </c>
      <c r="K78">
        <f t="shared" ref="K78:N78" si="29">SUMPRODUCT($C$36:$C$45,K$36:K$45)</f>
        <v>0.33988002678702056</v>
      </c>
      <c r="L78">
        <f t="shared" si="29"/>
        <v>0.45011921226208607</v>
      </c>
      <c r="M78">
        <f t="shared" si="29"/>
        <v>0.56035839773715157</v>
      </c>
      <c r="N78">
        <f t="shared" si="29"/>
        <v>0.67059758321221707</v>
      </c>
      <c r="O78">
        <f>SUMPRODUCT($C$36:$C$45,O$36:O$45)</f>
        <v>0.78083676868728258</v>
      </c>
      <c r="Q78">
        <f>SUMPRODUCT($C$36:$C$45,Q$36:Q$45)</f>
        <v>-0.28841347948656226</v>
      </c>
      <c r="R78">
        <f t="shared" ref="R78:U78" si="30">SUMPRODUCT($C$36:$C$45,R$36:R$45)</f>
        <v>-4.8423869043132672E-3</v>
      </c>
      <c r="S78">
        <f t="shared" si="30"/>
        <v>0.27872870567793573</v>
      </c>
      <c r="T78">
        <f t="shared" si="30"/>
        <v>0.56229979826018472</v>
      </c>
      <c r="U78">
        <f t="shared" si="30"/>
        <v>0.84587089084243372</v>
      </c>
      <c r="V78">
        <f>SUMPRODUCT($C$36:$C$45,V$36:V$45)</f>
        <v>1.1294419834246825</v>
      </c>
      <c r="X78">
        <f>SUMPRODUCT($C$36:$C$45,X$36:X$45)</f>
        <v>-1.2998797144609275E-2</v>
      </c>
      <c r="Y78">
        <f t="shared" ref="Y78:AB78" si="31">SUMPRODUCT($C$36:$C$45,Y$36:Y$45)</f>
        <v>7.0827435230421731E-2</v>
      </c>
      <c r="Z78">
        <f t="shared" si="31"/>
        <v>0.15465366760545268</v>
      </c>
      <c r="AA78">
        <f t="shared" si="31"/>
        <v>0.23847989998048374</v>
      </c>
      <c r="AB78">
        <f t="shared" si="31"/>
        <v>0.3223061323555147</v>
      </c>
      <c r="AC78">
        <f>SUMPRODUCT($C$36:$C$45,AC$36:AC$45)</f>
        <v>0.40613236473054565</v>
      </c>
      <c r="AE78">
        <f>SUMPRODUCT($C$36:$C$45,AE$36:AE$45)</f>
        <v>0</v>
      </c>
      <c r="AF78">
        <f t="shared" ref="AF78:AI78" si="32">SUMPRODUCT($C$36:$C$45,AF$36:AF$45)</f>
        <v>0</v>
      </c>
      <c r="AG78">
        <f t="shared" si="32"/>
        <v>0</v>
      </c>
      <c r="AH78">
        <f t="shared" si="32"/>
        <v>0</v>
      </c>
      <c r="AI78">
        <f t="shared" si="32"/>
        <v>0</v>
      </c>
      <c r="AJ78">
        <f>SUMPRODUCT($C$36:$C$45,AJ$36:AJ$45)</f>
        <v>0</v>
      </c>
    </row>
    <row r="79" spans="1:36" x14ac:dyDescent="0.25">
      <c r="E79" t="str">
        <f t="shared" si="16"/>
        <v>T2p</v>
      </c>
      <c r="F79" s="7" t="s">
        <v>113</v>
      </c>
      <c r="G79" s="7" t="s">
        <v>112</v>
      </c>
      <c r="I79" t="s">
        <v>24</v>
      </c>
      <c r="J79">
        <f t="shared" ref="J79:O79" si="33">EXP(J77)/(1+EXP(J82)+EXP(J77))</f>
        <v>3.0430114737937303E-2</v>
      </c>
      <c r="K79">
        <f t="shared" si="33"/>
        <v>3.6534223455795808E-2</v>
      </c>
      <c r="L79">
        <f t="shared" si="33"/>
        <v>6.6526538740057733E-2</v>
      </c>
      <c r="M79">
        <f t="shared" si="33"/>
        <v>0.12390641050087403</v>
      </c>
      <c r="N79">
        <f t="shared" si="33"/>
        <v>0.10331842238168071</v>
      </c>
      <c r="O79">
        <f t="shared" si="33"/>
        <v>0.12364810379889714</v>
      </c>
      <c r="Q79">
        <f>EXP(Q77)/(1+EXP(Q82)+EXP(Q77))</f>
        <v>3.4841991117033691E-2</v>
      </c>
      <c r="R79">
        <f t="shared" ref="R79:V79" si="34">EXP(R77)/(1+EXP(R82)+EXP(R77))</f>
        <v>4.8198372135446109E-2</v>
      </c>
      <c r="S79">
        <f t="shared" si="34"/>
        <v>9.4626698459579578E-2</v>
      </c>
      <c r="T79">
        <f t="shared" si="34"/>
        <v>0.18867414543965882</v>
      </c>
      <c r="U79">
        <f t="shared" si="34"/>
        <v>0.17946047265566753</v>
      </c>
      <c r="V79">
        <f t="shared" si="34"/>
        <v>0.23120007073022228</v>
      </c>
      <c r="X79">
        <f t="shared" ref="X79:AC79" si="35">EXP(X77)/(1+EXP(X82)+EXP(X77))</f>
        <v>4.9383338521389888E-2</v>
      </c>
      <c r="Y79">
        <f t="shared" si="35"/>
        <v>6.6181908969308284E-2</v>
      </c>
      <c r="Z79">
        <f t="shared" si="35"/>
        <v>0.12028233722485264</v>
      </c>
      <c r="AA79">
        <f t="shared" si="35"/>
        <v>0.22124584041211881</v>
      </c>
      <c r="AB79">
        <f t="shared" si="35"/>
        <v>0.20953456468498727</v>
      </c>
      <c r="AC79">
        <f t="shared" si="35"/>
        <v>0.25325458197273315</v>
      </c>
      <c r="AE79">
        <f t="shared" ref="AE79:AJ79" si="36">EXP(AE77)/(1+EXP(AE82)+EXP(AE77))</f>
        <v>9.3117499786824945E-2</v>
      </c>
      <c r="AF79">
        <f t="shared" si="36"/>
        <v>0.10267692818939275</v>
      </c>
      <c r="AG79">
        <f>EXP(AG77)/(1+EXP(AG82)+EXP(AG77))</f>
        <v>0.14001468243077858</v>
      </c>
      <c r="AH79">
        <f t="shared" si="36"/>
        <v>0.20818296565366581</v>
      </c>
      <c r="AI79">
        <f t="shared" si="36"/>
        <v>0.16235816661578009</v>
      </c>
      <c r="AJ79">
        <f t="shared" si="36"/>
        <v>0.16235816661578009</v>
      </c>
    </row>
    <row r="80" spans="1:36" x14ac:dyDescent="0.25">
      <c r="E80" t="str">
        <f t="shared" si="16"/>
        <v>T2p*</v>
      </c>
      <c r="F80" s="7" t="s">
        <v>113</v>
      </c>
      <c r="G80" s="7" t="s">
        <v>122</v>
      </c>
      <c r="I80" t="s">
        <v>25</v>
      </c>
      <c r="J80" cm="1">
        <f t="array" ref="J80:O80">(J79:O79+$AE79:$AJ79)/2</f>
        <v>6.1773807262381124E-2</v>
      </c>
      <c r="K80">
        <v>6.9605575822594273E-2</v>
      </c>
      <c r="L80">
        <v>0.10327061058541816</v>
      </c>
      <c r="M80">
        <v>0.16604468807726991</v>
      </c>
      <c r="N80">
        <v>0.13283829449873041</v>
      </c>
      <c r="O80">
        <v>0.14300313520733862</v>
      </c>
      <c r="Q80" cm="1">
        <f t="array" ref="Q80:V80">(Q79:V79+$AE79:$AJ79)/2</f>
        <v>6.3979745451929318E-2</v>
      </c>
      <c r="R80">
        <v>7.5437650162419434E-2</v>
      </c>
      <c r="S80">
        <v>0.11732069044517908</v>
      </c>
      <c r="T80">
        <v>0.19842855554666233</v>
      </c>
      <c r="U80">
        <v>0.17090931963572381</v>
      </c>
      <c r="V80">
        <v>0.19677911867300119</v>
      </c>
      <c r="X80" cm="1">
        <f t="array" ref="X80:AC80">(X79:AC79+$AE79:$AJ79)/2</f>
        <v>7.1250419154107417E-2</v>
      </c>
      <c r="Y80">
        <v>8.4429418579350518E-2</v>
      </c>
      <c r="Z80">
        <v>0.13014850982781562</v>
      </c>
      <c r="AA80">
        <v>0.2147144030328923</v>
      </c>
      <c r="AB80">
        <v>0.18594636565038369</v>
      </c>
      <c r="AC80">
        <v>0.20780637429425663</v>
      </c>
      <c r="AE80" cm="1">
        <f t="array" ref="AE80:AJ80">(AE79:AJ79+$AE79:$AJ79)/2</f>
        <v>9.3117499786824945E-2</v>
      </c>
      <c r="AF80">
        <v>0.10267692818939275</v>
      </c>
      <c r="AG80">
        <v>0.14001468243077858</v>
      </c>
      <c r="AH80">
        <v>0.20818296565366581</v>
      </c>
      <c r="AI80">
        <v>0.16235816661578009</v>
      </c>
      <c r="AJ80">
        <v>0.16235816661578009</v>
      </c>
    </row>
    <row r="81" spans="5:36" x14ac:dyDescent="0.25">
      <c r="E81" t="str">
        <f t="shared" si="16"/>
        <v/>
      </c>
    </row>
    <row r="82" spans="5:36" x14ac:dyDescent="0.25">
      <c r="E82" t="str">
        <f t="shared" si="16"/>
        <v>T3xb</v>
      </c>
      <c r="F82" s="7" t="s">
        <v>115</v>
      </c>
      <c r="G82" s="7" t="s">
        <v>121</v>
      </c>
      <c r="H82" t="s">
        <v>26</v>
      </c>
      <c r="I82" t="s">
        <v>19</v>
      </c>
      <c r="J82">
        <f>SUMPRODUCT($C$47:$C$67,J$47:J$67)</f>
        <v>2.151258237395588</v>
      </c>
      <c r="K82">
        <f t="shared" ref="K82:O82" si="37">SUMPRODUCT($C$47:$C$67,K$47:K$67)</f>
        <v>2.4742090782568082</v>
      </c>
      <c r="L82">
        <f t="shared" si="37"/>
        <v>2.0910681856337172</v>
      </c>
      <c r="M82">
        <f t="shared" si="37"/>
        <v>1.9691464179979083</v>
      </c>
      <c r="N82">
        <f t="shared" si="37"/>
        <v>2.2840023026370222</v>
      </c>
      <c r="O82">
        <f t="shared" si="37"/>
        <v>2.1817828356071418</v>
      </c>
      <c r="Q82">
        <f>SUMPRODUCT($C$47:$C$67,Q$47:Q$67)</f>
        <v>1.3786236096330009</v>
      </c>
      <c r="R82">
        <f t="shared" ref="R82:V82" si="38">SUMPRODUCT($C$47:$C$67,R$47:R$67)</f>
        <v>1.762754032676195</v>
      </c>
      <c r="S82">
        <f t="shared" si="38"/>
        <v>1.4407927222350791</v>
      </c>
      <c r="T82">
        <f t="shared" si="38"/>
        <v>1.3800505367812439</v>
      </c>
      <c r="U82">
        <f t="shared" si="38"/>
        <v>1.7560860036023322</v>
      </c>
      <c r="V82">
        <f t="shared" si="38"/>
        <v>1.715046118754427</v>
      </c>
      <c r="X82">
        <f>SUMPRODUCT($C$47:$C$67,X$47:X$67)</f>
        <v>1.2664640588843492</v>
      </c>
      <c r="Y82">
        <f t="shared" ref="Y82:AC82" si="39">SUMPRODUCT($C$47:$C$67,Y$47:Y$67)</f>
        <v>1.4498644259418396</v>
      </c>
      <c r="Z82">
        <f t="shared" si="39"/>
        <v>0.92717305951501872</v>
      </c>
      <c r="AA82">
        <f t="shared" si="39"/>
        <v>0.66570081807547998</v>
      </c>
      <c r="AB82">
        <f t="shared" si="39"/>
        <v>0.84100622891086441</v>
      </c>
      <c r="AC82">
        <f t="shared" si="39"/>
        <v>0.59923628807725504</v>
      </c>
      <c r="AE82">
        <f>SUMPRODUCT($C$47:$C$67,AE$47:AE$67)</f>
        <v>0.28611333069429201</v>
      </c>
      <c r="AF82">
        <f t="shared" ref="AF82:AJ82" si="40">SUMPRODUCT($C$47:$C$67,AF$47:AF$67)</f>
        <v>0.71128363858539156</v>
      </c>
      <c r="AG82">
        <f t="shared" si="40"/>
        <v>0.43036221299218025</v>
      </c>
      <c r="AH82">
        <f t="shared" si="40"/>
        <v>0.41065991238625066</v>
      </c>
      <c r="AI82">
        <f t="shared" si="40"/>
        <v>0.827735264055244</v>
      </c>
      <c r="AJ82">
        <f t="shared" si="40"/>
        <v>0.827735264055244</v>
      </c>
    </row>
    <row r="83" spans="5:36" x14ac:dyDescent="0.25">
      <c r="E83" t="str">
        <f t="shared" si="16"/>
        <v>T3lambda</v>
      </c>
      <c r="F83" s="7" t="s">
        <v>115</v>
      </c>
      <c r="G83" s="7" t="s">
        <v>100</v>
      </c>
      <c r="I83" t="s">
        <v>20</v>
      </c>
      <c r="J83">
        <f t="shared" ref="J83:O83" si="41">SUMPRODUCT($C$57:$C$66,J57:J66)</f>
        <v>1.8651449067012964</v>
      </c>
      <c r="K83">
        <f t="shared" si="41"/>
        <v>1.7629254396714167</v>
      </c>
      <c r="L83">
        <f t="shared" si="41"/>
        <v>1.6607059726415372</v>
      </c>
      <c r="M83">
        <f t="shared" si="41"/>
        <v>1.5584865056116577</v>
      </c>
      <c r="N83">
        <f t="shared" si="41"/>
        <v>1.4562670385817782</v>
      </c>
      <c r="O83">
        <f t="shared" si="41"/>
        <v>1.3540475715518985</v>
      </c>
      <c r="Q83">
        <f t="shared" ref="Q83:V83" si="42">SUMPRODUCT($C$57:$C$66,Q57:Q66)</f>
        <v>1.0925102789387087</v>
      </c>
      <c r="R83">
        <f t="shared" si="42"/>
        <v>1.0514703940908037</v>
      </c>
      <c r="S83">
        <f t="shared" si="42"/>
        <v>1.0104305092428985</v>
      </c>
      <c r="T83">
        <f t="shared" si="42"/>
        <v>0.96939062439499346</v>
      </c>
      <c r="U83">
        <f t="shared" si="42"/>
        <v>0.92835073954708835</v>
      </c>
      <c r="V83">
        <f t="shared" si="42"/>
        <v>0.88731085469918325</v>
      </c>
      <c r="X83">
        <f t="shared" ref="X83:AC83" si="43">SUMPRODUCT($C$57:$C$66,X57:X66)</f>
        <v>0.98035072819005697</v>
      </c>
      <c r="Y83">
        <f t="shared" si="43"/>
        <v>0.73858078735644783</v>
      </c>
      <c r="Z83">
        <f t="shared" si="43"/>
        <v>0.49681084652283847</v>
      </c>
      <c r="AA83">
        <f t="shared" si="43"/>
        <v>0.25504090568922932</v>
      </c>
      <c r="AB83">
        <f t="shared" si="43"/>
        <v>1.3270964855620182E-2</v>
      </c>
      <c r="AC83">
        <f t="shared" si="43"/>
        <v>-0.22849897597798918</v>
      </c>
      <c r="AE83">
        <f t="shared" ref="AE83:AJ83" si="44">SUMPRODUCT($C$57:$C$66,AE57:AE66)</f>
        <v>0</v>
      </c>
      <c r="AF83">
        <f t="shared" si="44"/>
        <v>0</v>
      </c>
      <c r="AG83">
        <f t="shared" si="44"/>
        <v>0</v>
      </c>
      <c r="AH83">
        <f t="shared" si="44"/>
        <v>0</v>
      </c>
      <c r="AI83">
        <f t="shared" si="44"/>
        <v>0</v>
      </c>
      <c r="AJ83">
        <f t="shared" si="44"/>
        <v>0</v>
      </c>
    </row>
    <row r="84" spans="5:36" x14ac:dyDescent="0.25">
      <c r="E84" t="str">
        <f t="shared" si="16"/>
        <v>T3p</v>
      </c>
      <c r="F84" s="7" t="s">
        <v>115</v>
      </c>
      <c r="G84" s="7" t="s">
        <v>112</v>
      </c>
      <c r="I84" t="s">
        <v>24</v>
      </c>
      <c r="J84">
        <f t="shared" ref="J84:O84" si="45">EXP(J82)/(1+EXP(J82)+EXP(J77))</f>
        <v>0.8685274161219434</v>
      </c>
      <c r="K84">
        <f t="shared" si="45"/>
        <v>0.88861786444037594</v>
      </c>
      <c r="L84">
        <f t="shared" si="45"/>
        <v>0.83082126838043369</v>
      </c>
      <c r="M84">
        <f t="shared" si="45"/>
        <v>0.76878912144712341</v>
      </c>
      <c r="N84">
        <f t="shared" si="45"/>
        <v>0.81377746716922728</v>
      </c>
      <c r="O84">
        <f t="shared" si="45"/>
        <v>0.78749124566311834</v>
      </c>
      <c r="Q84">
        <f t="shared" ref="Q84:V84" si="46">EXP(Q82)/(1+EXP(Q82)+EXP(Q77))</f>
        <v>0.77093912276204013</v>
      </c>
      <c r="R84">
        <f t="shared" si="46"/>
        <v>0.81241432264175428</v>
      </c>
      <c r="S84">
        <f t="shared" si="46"/>
        <v>0.73206437117768819</v>
      </c>
      <c r="T84">
        <f t="shared" si="46"/>
        <v>0.64824864103221835</v>
      </c>
      <c r="U84">
        <f t="shared" si="46"/>
        <v>0.69968946617971839</v>
      </c>
      <c r="V84">
        <f t="shared" si="46"/>
        <v>0.6515499784616523</v>
      </c>
      <c r="X84">
        <f t="shared" ref="X84:AC84" si="47">EXP(X82)/(1+EXP(X82)+EXP(X77))</f>
        <v>0.74161108999889547</v>
      </c>
      <c r="Y84">
        <f t="shared" si="47"/>
        <v>0.75637170644752261</v>
      </c>
      <c r="Z84">
        <f t="shared" si="47"/>
        <v>0.63031894470092575</v>
      </c>
      <c r="AA84">
        <f t="shared" si="47"/>
        <v>0.51439814257107008</v>
      </c>
      <c r="AB84">
        <f t="shared" si="47"/>
        <v>0.55228009571196901</v>
      </c>
      <c r="AC84">
        <f t="shared" si="47"/>
        <v>0.48201039850377769</v>
      </c>
      <c r="AE84">
        <f>EXP(AE82)/(1+EXP(AE82)+EXP(AE77))</f>
        <v>0.51787012495763751</v>
      </c>
      <c r="AF84">
        <f t="shared" ref="AF84:AJ84" si="48">EXP(AF82)/(1+EXP(AF82)+EXP(AF77))</f>
        <v>0.60182088657838129</v>
      </c>
      <c r="AG84">
        <f t="shared" si="48"/>
        <v>0.52111683911145223</v>
      </c>
      <c r="AH84">
        <f t="shared" si="48"/>
        <v>0.47607690610930065</v>
      </c>
      <c r="AI84">
        <f t="shared" si="48"/>
        <v>0.58289472320331437</v>
      </c>
      <c r="AJ84">
        <f t="shared" si="48"/>
        <v>0.58289472320331437</v>
      </c>
    </row>
    <row r="85" spans="5:36" x14ac:dyDescent="0.25">
      <c r="E85" t="str">
        <f t="shared" si="16"/>
        <v>T3p*</v>
      </c>
      <c r="F85" s="7" t="s">
        <v>115</v>
      </c>
      <c r="G85" s="7" t="s">
        <v>122</v>
      </c>
      <c r="I85" t="s">
        <v>27</v>
      </c>
      <c r="J85" cm="1">
        <f t="array" ref="J85:O85">(J84:O84+$AE84:$AJ84)/2</f>
        <v>0.6931987705397904</v>
      </c>
      <c r="K85">
        <v>0.74521937550937856</v>
      </c>
      <c r="L85">
        <v>0.67596905374594296</v>
      </c>
      <c r="M85">
        <v>0.62243301377821203</v>
      </c>
      <c r="N85">
        <v>0.69833609518627082</v>
      </c>
      <c r="O85">
        <v>0.6851929844332163</v>
      </c>
      <c r="Q85" cm="1">
        <f t="array" ref="Q85:V85">(Q84:V84+$AE84:$AJ84)/2</f>
        <v>0.64440462385983888</v>
      </c>
      <c r="R85">
        <v>0.70711760461006778</v>
      </c>
      <c r="S85">
        <v>0.62659060514457021</v>
      </c>
      <c r="T85">
        <v>0.5621627735707595</v>
      </c>
      <c r="U85">
        <v>0.64129209469151638</v>
      </c>
      <c r="V85">
        <v>0.61722235083248334</v>
      </c>
      <c r="X85" cm="1">
        <f t="array" ref="X85:AC85">(X84:AC84+$AE84:$AJ84)/2</f>
        <v>0.62974060747826655</v>
      </c>
      <c r="Y85">
        <v>0.67909629651295189</v>
      </c>
      <c r="Z85">
        <v>0.57571789190618894</v>
      </c>
      <c r="AA85">
        <v>0.49523752434018536</v>
      </c>
      <c r="AB85">
        <v>0.56758740945764163</v>
      </c>
      <c r="AC85">
        <v>0.53245256085354598</v>
      </c>
      <c r="AE85" cm="1">
        <f t="array" ref="AE85:AJ85">(AE84:AJ84+$AE84:$AJ84)/2</f>
        <v>0.51787012495763751</v>
      </c>
      <c r="AF85">
        <v>0.60182088657838129</v>
      </c>
      <c r="AG85">
        <v>0.52111683911145223</v>
      </c>
      <c r="AH85">
        <v>0.47607690610930065</v>
      </c>
      <c r="AI85">
        <v>0.58289472320331437</v>
      </c>
      <c r="AJ85">
        <v>0.58289472320331437</v>
      </c>
    </row>
    <row r="86" spans="5:36" x14ac:dyDescent="0.25">
      <c r="E86" t="str">
        <f t="shared" si="16"/>
        <v/>
      </c>
    </row>
    <row r="87" spans="5:36" x14ac:dyDescent="0.25">
      <c r="E87" t="str">
        <f t="shared" si="16"/>
        <v>T1e^lambda-1</v>
      </c>
      <c r="F87" s="7" t="s">
        <v>99</v>
      </c>
      <c r="G87" s="7" t="s">
        <v>102</v>
      </c>
      <c r="I87" t="s">
        <v>28</v>
      </c>
      <c r="J87" cm="1">
        <f t="array" ref="J87:O87">EXP(J73:O73)-1</f>
        <v>6.7396658552981146</v>
      </c>
      <c r="K87">
        <v>6.7512921648542283</v>
      </c>
      <c r="L87">
        <v>6.7629359391273534</v>
      </c>
      <c r="M87">
        <v>6.7745972043524949</v>
      </c>
      <c r="N87">
        <v>6.7862759868040721</v>
      </c>
      <c r="O87">
        <v>6.7979723127959728</v>
      </c>
      <c r="Q87" cm="1">
        <f t="array" ref="Q87:V87">EXP(Q73:V73)-1</f>
        <v>1.1942028369984281</v>
      </c>
      <c r="R87">
        <v>1.1988760069162412</v>
      </c>
      <c r="S87">
        <v>1.2035591296591592</v>
      </c>
      <c r="T87">
        <v>1.2082522264245119</v>
      </c>
      <c r="U87">
        <v>1.2129553184547763</v>
      </c>
      <c r="V87">
        <v>1.2176684270376703</v>
      </c>
      <c r="X87" cm="1">
        <f t="array" ref="X87:AC87">EXP(X73:AC73)-1</f>
        <v>0.77699389307343369</v>
      </c>
      <c r="Y87">
        <v>0.64082833143949913</v>
      </c>
      <c r="Z87">
        <v>0.51509671684801428</v>
      </c>
      <c r="AA87">
        <v>0.39899952811624928</v>
      </c>
      <c r="AB87">
        <v>0.29179850890391901</v>
      </c>
      <c r="AC87">
        <v>0.19281197317725263</v>
      </c>
      <c r="AE87">
        <f t="shared" ref="AE87:AJ87" si="49">EXP(AE73)-1</f>
        <v>0</v>
      </c>
      <c r="AF87">
        <f t="shared" si="49"/>
        <v>0</v>
      </c>
      <c r="AG87">
        <f t="shared" si="49"/>
        <v>0</v>
      </c>
      <c r="AH87">
        <f t="shared" si="49"/>
        <v>0</v>
      </c>
      <c r="AI87">
        <f t="shared" si="49"/>
        <v>0</v>
      </c>
      <c r="AJ87">
        <f t="shared" si="49"/>
        <v>0</v>
      </c>
    </row>
    <row r="88" spans="5:36" x14ac:dyDescent="0.25">
      <c r="E88" t="str">
        <f t="shared" si="16"/>
        <v>T2e^lambda-1</v>
      </c>
      <c r="F88" s="7" t="s">
        <v>114</v>
      </c>
      <c r="G88" s="7" t="s">
        <v>102</v>
      </c>
      <c r="I88" t="s">
        <v>0</v>
      </c>
      <c r="J88" cm="1">
        <f t="array" ref="J88:O88">EXP(J78:O78)-1</f>
        <v>0.25814805396795171</v>
      </c>
      <c r="K88">
        <v>0.4047790445977888</v>
      </c>
      <c r="L88">
        <v>0.56849915867798506</v>
      </c>
      <c r="M88">
        <v>0.75130004980814591</v>
      </c>
      <c r="N88">
        <v>0.95540548905559453</v>
      </c>
      <c r="O88">
        <v>1.1832984171088352</v>
      </c>
      <c r="Q88" cm="1">
        <f t="array" ref="Q88:V88">EXP(Q78:V78)-1</f>
        <v>-0.25054835471639192</v>
      </c>
      <c r="R88">
        <v>-4.8306814505816309E-3</v>
      </c>
      <c r="S88">
        <v>0.32144879368079882</v>
      </c>
      <c r="T88">
        <v>0.75470332713409882</v>
      </c>
      <c r="U88">
        <v>1.3300061122150582</v>
      </c>
      <c r="V88">
        <v>2.093929554363144</v>
      </c>
      <c r="X88" cm="1">
        <f t="array" ref="X88:AC88">EXP(X78:AC78)-1</f>
        <v>-1.2914677659525475E-2</v>
      </c>
      <c r="Y88">
        <v>7.3395979555445301E-2</v>
      </c>
      <c r="Z88">
        <v>0.16725363334738508</v>
      </c>
      <c r="AA88">
        <v>0.26931819245955557</v>
      </c>
      <c r="AB88">
        <v>0.3803072679999917</v>
      </c>
      <c r="AC88">
        <v>0.50100121893140526</v>
      </c>
      <c r="AE88">
        <f t="shared" ref="AE88:AJ88" si="50">EXP(AE78)-1</f>
        <v>0</v>
      </c>
      <c r="AF88">
        <f t="shared" si="50"/>
        <v>0</v>
      </c>
      <c r="AG88">
        <f t="shared" si="50"/>
        <v>0</v>
      </c>
      <c r="AH88">
        <f t="shared" si="50"/>
        <v>0</v>
      </c>
      <c r="AI88">
        <f t="shared" si="50"/>
        <v>0</v>
      </c>
      <c r="AJ88">
        <f t="shared" si="50"/>
        <v>0</v>
      </c>
    </row>
    <row r="89" spans="5:36" x14ac:dyDescent="0.25">
      <c r="E89" t="str">
        <f t="shared" si="16"/>
        <v>T3e^lambda-1</v>
      </c>
      <c r="F89" s="7" t="s">
        <v>123</v>
      </c>
      <c r="G89" s="7" t="s">
        <v>102</v>
      </c>
      <c r="I89" t="s">
        <v>1</v>
      </c>
      <c r="J89" cm="1">
        <f t="array" ref="J89:O89">EXP(J83:O83)-1</f>
        <v>5.4568714621482348</v>
      </c>
      <c r="K89">
        <v>4.8294662256083107</v>
      </c>
      <c r="L89">
        <v>4.2630250849382394</v>
      </c>
      <c r="M89">
        <v>3.7516242435727811</v>
      </c>
      <c r="N89">
        <v>3.2899155120355186</v>
      </c>
      <c r="O89">
        <v>2.8730703769970933</v>
      </c>
      <c r="Q89" cm="1">
        <f t="array" ref="Q89:V89">EXP(Q83:V83)-1</f>
        <v>1.9817497091662832</v>
      </c>
      <c r="R89">
        <v>1.8618560821002634</v>
      </c>
      <c r="S89">
        <v>1.7467832761000945</v>
      </c>
      <c r="T89">
        <v>1.6363374500391257</v>
      </c>
      <c r="U89">
        <v>1.5303325569780135</v>
      </c>
      <c r="V89">
        <v>1.4285900307670674</v>
      </c>
      <c r="X89" cm="1">
        <f t="array" ref="X89:AC89">EXP(X83:AC83)-1</f>
        <v>1.6653909057415275</v>
      </c>
      <c r="Y89">
        <v>1.0929630460934128</v>
      </c>
      <c r="Z89">
        <v>0.64347162094557264</v>
      </c>
      <c r="AA89">
        <v>0.29051440917457927</v>
      </c>
      <c r="AB89">
        <v>1.335941494931836E-2</v>
      </c>
      <c r="AC89">
        <v>-0.20427288795385523</v>
      </c>
      <c r="AE89">
        <f t="shared" ref="AE89:AJ89" si="51">EXP(AE83)-1</f>
        <v>0</v>
      </c>
      <c r="AF89">
        <f t="shared" si="51"/>
        <v>0</v>
      </c>
      <c r="AG89">
        <f t="shared" si="51"/>
        <v>0</v>
      </c>
      <c r="AH89">
        <f t="shared" si="51"/>
        <v>0</v>
      </c>
      <c r="AI89">
        <f t="shared" si="51"/>
        <v>0</v>
      </c>
      <c r="AJ89">
        <f t="shared" si="51"/>
        <v>0</v>
      </c>
    </row>
    <row r="90" spans="5:36" x14ac:dyDescent="0.25">
      <c r="E90" t="str">
        <f t="shared" si="16"/>
        <v/>
      </c>
      <c r="G90" s="7"/>
    </row>
    <row r="91" spans="5:36" x14ac:dyDescent="0.25">
      <c r="E91" t="str">
        <f t="shared" si="16"/>
        <v>T1R</v>
      </c>
      <c r="F91" s="7" t="s">
        <v>99</v>
      </c>
      <c r="G91" s="7" t="s">
        <v>105</v>
      </c>
      <c r="I91" t="s">
        <v>29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</row>
    <row r="92" spans="5:36" x14ac:dyDescent="0.25">
      <c r="E92" t="str">
        <f t="shared" si="16"/>
        <v>T2R</v>
      </c>
      <c r="F92" s="7" t="s">
        <v>114</v>
      </c>
      <c r="G92" s="7" t="s">
        <v>105</v>
      </c>
      <c r="I92" t="s">
        <v>30</v>
      </c>
      <c r="J92" cm="1">
        <f t="array" ref="J92:O92">_xlfn.ANCHORARRAY(J$75)</f>
        <v>0.95468087041514504</v>
      </c>
      <c r="K92">
        <v>0.98406049676955099</v>
      </c>
      <c r="L92">
        <v>0.99144777819492114</v>
      </c>
      <c r="M92">
        <v>0.98836291641497287</v>
      </c>
      <c r="N92">
        <v>0.98811215752363002</v>
      </c>
      <c r="O92">
        <v>0.98811421474951433</v>
      </c>
      <c r="Q92" cm="1">
        <f t="array" ref="Q92:V92">_xlfn.ANCHORARRAY(Q$75)</f>
        <v>0.94124797672994998</v>
      </c>
      <c r="R92">
        <v>0.97942029982538559</v>
      </c>
      <c r="S92">
        <v>0.98897369427907389</v>
      </c>
      <c r="T92">
        <v>0.98499794565272847</v>
      </c>
      <c r="U92">
        <v>0.98468167214070546</v>
      </c>
      <c r="V92">
        <v>0.98469178776783117</v>
      </c>
      <c r="X92" cm="1">
        <f t="array" ref="X92:AC92">_xlfn.ANCHORARRAY(X$75)</f>
        <v>0.93700362343842314</v>
      </c>
      <c r="Y92">
        <v>0.97724731994979397</v>
      </c>
      <c r="Z92">
        <v>0.9874165404111197</v>
      </c>
      <c r="AA92">
        <v>0.98231226913902236</v>
      </c>
      <c r="AB92">
        <v>0.98131077539460687</v>
      </c>
      <c r="AC92">
        <v>0.98064422462631629</v>
      </c>
      <c r="AE92" cm="1">
        <f t="array" ref="AE92:AJ92">_xlfn.ANCHORARRAY(AE$75)</f>
        <v>0.92041079279108962</v>
      </c>
      <c r="AF92">
        <v>0.9718446514051976</v>
      </c>
      <c r="AG92">
        <v>0.98487052480798176</v>
      </c>
      <c r="AH92">
        <v>0.97942110470573474</v>
      </c>
      <c r="AI92">
        <v>0.97897498609254385</v>
      </c>
      <c r="AJ92">
        <v>0.97897498609254385</v>
      </c>
    </row>
    <row r="93" spans="5:36" x14ac:dyDescent="0.25">
      <c r="E93" t="str">
        <f t="shared" si="16"/>
        <v>T3R</v>
      </c>
      <c r="F93" s="7" t="s">
        <v>123</v>
      </c>
      <c r="G93" s="7" t="s">
        <v>105</v>
      </c>
      <c r="I93" t="s">
        <v>31</v>
      </c>
      <c r="J93" cm="1">
        <f t="array" ref="J93:O93">_xlfn.ANCHORARRAY(J$75)</f>
        <v>0.95468087041514504</v>
      </c>
      <c r="K93">
        <v>0.98406049676955099</v>
      </c>
      <c r="L93">
        <v>0.99144777819492114</v>
      </c>
      <c r="M93">
        <v>0.98836291641497287</v>
      </c>
      <c r="N93">
        <v>0.98811215752363002</v>
      </c>
      <c r="O93">
        <v>0.98811421474951433</v>
      </c>
      <c r="Q93" cm="1">
        <f t="array" ref="Q93:V93">_xlfn.ANCHORARRAY(Q$75)</f>
        <v>0.94124797672994998</v>
      </c>
      <c r="R93">
        <v>0.97942029982538559</v>
      </c>
      <c r="S93">
        <v>0.98897369427907389</v>
      </c>
      <c r="T93">
        <v>0.98499794565272847</v>
      </c>
      <c r="U93">
        <v>0.98468167214070546</v>
      </c>
      <c r="V93">
        <v>0.98469178776783117</v>
      </c>
      <c r="X93" cm="1">
        <f t="array" ref="X93:AC93">_xlfn.ANCHORARRAY(X$75)</f>
        <v>0.93700362343842314</v>
      </c>
      <c r="Y93">
        <v>0.97724731994979397</v>
      </c>
      <c r="Z93">
        <v>0.9874165404111197</v>
      </c>
      <c r="AA93">
        <v>0.98231226913902236</v>
      </c>
      <c r="AB93">
        <v>0.98131077539460687</v>
      </c>
      <c r="AC93">
        <v>0.98064422462631629</v>
      </c>
      <c r="AE93" cm="1">
        <f t="array" ref="AE93:AJ93">_xlfn.ANCHORARRAY(AE$75)</f>
        <v>0.92041079279108962</v>
      </c>
      <c r="AF93">
        <v>0.9718446514051976</v>
      </c>
      <c r="AG93">
        <v>0.98487052480798176</v>
      </c>
      <c r="AH93">
        <v>0.97942110470573474</v>
      </c>
      <c r="AI93">
        <v>0.97897498609254385</v>
      </c>
      <c r="AJ93">
        <v>0.97897498609254385</v>
      </c>
    </row>
    <row r="94" spans="5:36" x14ac:dyDescent="0.25">
      <c r="E94" t="str">
        <f t="shared" si="16"/>
        <v/>
      </c>
    </row>
    <row r="95" spans="5:36" x14ac:dyDescent="0.25">
      <c r="E95" t="str">
        <f t="shared" si="16"/>
        <v>T1D</v>
      </c>
      <c r="F95" s="7" t="s">
        <v>99</v>
      </c>
      <c r="G95" s="7" t="s">
        <v>107</v>
      </c>
      <c r="I95" t="s">
        <v>32</v>
      </c>
      <c r="J95" cm="1">
        <f t="array" ref="J95:O95">$AE$74:$AJ$74*(1-J74:O74)</f>
        <v>1.0169666674829436E-2</v>
      </c>
      <c r="K95">
        <v>3.6188169808280385E-3</v>
      </c>
      <c r="L95">
        <v>1.9450881824523373E-3</v>
      </c>
      <c r="M95">
        <v>2.6398061580675562E-3</v>
      </c>
      <c r="N95">
        <v>2.6928381483019943E-3</v>
      </c>
      <c r="O95">
        <v>2.6888102029388114E-3</v>
      </c>
      <c r="Q95" cm="1">
        <f t="array" ref="Q95:V95">$AE$74:$AJ$74*(1-Q74:V74)</f>
        <v>3.4897227327367067E-2</v>
      </c>
      <c r="R95">
        <v>1.2637918144135807E-2</v>
      </c>
      <c r="S95">
        <v>6.8183928316911582E-3</v>
      </c>
      <c r="T95">
        <v>9.2312529205874853E-3</v>
      </c>
      <c r="U95">
        <v>9.409556908380386E-3</v>
      </c>
      <c r="V95">
        <v>9.389751016530952E-3</v>
      </c>
      <c r="X95" cm="1">
        <f t="array" ref="X95:AC95">$AE$74:$AJ$74*(1-X74:AC74)</f>
        <v>4.2710324483246333E-2</v>
      </c>
      <c r="Y95">
        <v>1.6861515883545283E-2</v>
      </c>
      <c r="Z95">
        <v>9.8855827259686849E-3</v>
      </c>
      <c r="AA95">
        <v>1.4492069436459932E-2</v>
      </c>
      <c r="AB95">
        <v>1.600960409864291E-2</v>
      </c>
      <c r="AC95">
        <v>1.7314677156877522E-2</v>
      </c>
      <c r="AE95" cm="1">
        <f t="array" ref="AE95:AJ95">AE74:AJ74*(1-$AE74:$AJ74)</f>
        <v>7.3254765304767516E-2</v>
      </c>
      <c r="AF95">
        <v>2.7362624940307556E-2</v>
      </c>
      <c r="AG95">
        <v>1.4900574172432342E-2</v>
      </c>
      <c r="AH95">
        <v>2.0155404362732932E-2</v>
      </c>
      <c r="AI95">
        <v>2.0582962697647422E-2</v>
      </c>
      <c r="AJ95">
        <v>2.0582962697647422E-2</v>
      </c>
    </row>
    <row r="96" spans="5:36" x14ac:dyDescent="0.25">
      <c r="E96" t="str">
        <f t="shared" si="16"/>
        <v>T2D</v>
      </c>
      <c r="F96" s="7" t="s">
        <v>114</v>
      </c>
      <c r="G96" s="7" t="s">
        <v>107</v>
      </c>
      <c r="I96" t="s">
        <v>33</v>
      </c>
      <c r="J96" cm="1">
        <f t="array" ref="J96:O96">$AE$79:$AJ$79*(1-J79:O79)</f>
        <v>9.0283923584202008E-2</v>
      </c>
      <c r="K96">
        <v>9.8925706351166778E-2</v>
      </c>
      <c r="L96">
        <v>0.13069999023587051</v>
      </c>
      <c r="M96">
        <v>0.18238776165209333</v>
      </c>
      <c r="N96">
        <v>0.14558357698025562</v>
      </c>
      <c r="O96">
        <v>0.14228288717747348</v>
      </c>
      <c r="Q96" cm="1">
        <f t="array" ref="Q96:V96">$AE$79:$AJ$79*(1-Q79:V79)</f>
        <v>8.9873100686412008E-2</v>
      </c>
      <c r="R96">
        <v>9.772806739479592E-2</v>
      </c>
      <c r="S96">
        <v>0.1267655552964875</v>
      </c>
      <c r="T96">
        <v>0.16890422251386658</v>
      </c>
      <c r="U96">
        <v>0.13322129329540458</v>
      </c>
      <c r="V96">
        <v>0.12482094701058252</v>
      </c>
      <c r="X96" cm="1">
        <f t="array" ref="X96:AC96">$AE$79:$AJ$79*(1-X79:AC79)</f>
        <v>8.8519046772586721E-2</v>
      </c>
      <c r="Y96">
        <v>9.5881573074714149E-2</v>
      </c>
      <c r="Z96">
        <v>0.12317338918220903</v>
      </c>
      <c r="AA96">
        <v>0.16212335045813325</v>
      </c>
      <c r="AB96">
        <v>0.12833851885088998</v>
      </c>
      <c r="AC96">
        <v>0.12124021699964134</v>
      </c>
      <c r="AE96" cm="1">
        <f t="array" ref="AE96:AJ96">AE79:AJ79*(1-$AE79:$AJ79)</f>
        <v>8.4446631020275609E-2</v>
      </c>
      <c r="AF96">
        <v>9.2134376606983037E-2</v>
      </c>
      <c r="AG96">
        <v>0.12041057113458679</v>
      </c>
      <c r="AH96">
        <v>0.16484281846531043</v>
      </c>
      <c r="AI96">
        <v>0.13599799234894269</v>
      </c>
      <c r="AJ96">
        <v>0.13599799234894269</v>
      </c>
    </row>
    <row r="97" spans="3:36" x14ac:dyDescent="0.25">
      <c r="E97" t="str">
        <f t="shared" si="16"/>
        <v>T3D</v>
      </c>
      <c r="F97" s="7" t="s">
        <v>123</v>
      </c>
      <c r="G97" s="7" t="s">
        <v>107</v>
      </c>
      <c r="I97" t="s">
        <v>34</v>
      </c>
      <c r="J97" cm="1">
        <f t="array" ref="J97:O97">$AE$84:$AJ$84*(1-J84:O84)</f>
        <v>6.8085723441432655E-2</v>
      </c>
      <c r="K97">
        <v>6.70320955714864E-2</v>
      </c>
      <c r="L97">
        <v>8.8161885866473097E-2</v>
      </c>
      <c r="M97">
        <v>0.11007415972026674</v>
      </c>
      <c r="N97">
        <v>0.10854813172861338</v>
      </c>
      <c r="O97">
        <v>0.12387023153747777</v>
      </c>
      <c r="Q97" cm="1">
        <f t="array" ref="Q97:V97">$AE$84:$AJ$84*(1-Q84:V84)</f>
        <v>0.11862378511812835</v>
      </c>
      <c r="R97">
        <v>0.11289297865714562</v>
      </c>
      <c r="S97">
        <v>0.13962576797722245</v>
      </c>
      <c r="T97">
        <v>0.16746069869712349</v>
      </c>
      <c r="U97">
        <v>0.17504942548621263</v>
      </c>
      <c r="V97">
        <v>0.20310967885478412</v>
      </c>
      <c r="X97" cm="1">
        <f t="array" ref="X97:AC97">$AE$84:$AJ$84*(1-X84:AC84)</f>
        <v>0.13381189710993976</v>
      </c>
      <c r="Y97">
        <v>0.14662059562133009</v>
      </c>
      <c r="Z97">
        <v>0.19264702301683956</v>
      </c>
      <c r="AA97">
        <v>0.23118382988569466</v>
      </c>
      <c r="AB97">
        <v>0.26097356968258623</v>
      </c>
      <c r="AC97">
        <v>0.30193340538633562</v>
      </c>
      <c r="AE97" cm="1">
        <f t="array" ref="AE97:AJ97">AE84:AJ84*(1-$AE84:$AJ84)</f>
        <v>0.24968065863399841</v>
      </c>
      <c r="AF97">
        <v>0.23963250705639241</v>
      </c>
      <c r="AG97">
        <v>0.24955407910594105</v>
      </c>
      <c r="AH97">
        <v>0.2494276855786968</v>
      </c>
      <c r="AI97">
        <v>0.24312846486504588</v>
      </c>
      <c r="AJ97">
        <v>0.24312846486504588</v>
      </c>
    </row>
    <row r="98" spans="3:36" x14ac:dyDescent="0.25">
      <c r="E98" t="str">
        <f t="shared" si="16"/>
        <v/>
      </c>
    </row>
    <row r="99" spans="3:36" x14ac:dyDescent="0.25">
      <c r="C99" s="2" t="s">
        <v>46</v>
      </c>
      <c r="D99" s="3">
        <v>9</v>
      </c>
      <c r="E99" t="str">
        <f t="shared" si="16"/>
        <v>T1G</v>
      </c>
      <c r="F99" s="7" t="s">
        <v>99</v>
      </c>
      <c r="G99" s="7" t="s">
        <v>109</v>
      </c>
      <c r="I99" t="s">
        <v>35</v>
      </c>
      <c r="J99" cm="1">
        <f t="array" ref="J99:O99">($D$100-$D$99)+_xlfn.ANCHORARRAY(J80)*($D$101-$D$100)+_xlfn.ANCHORARRAY(J85)*($D$102-$D$100)</f>
        <v>5.8963426966839236</v>
      </c>
      <c r="K99">
        <v>6.1200886536827026</v>
      </c>
      <c r="L99">
        <v>5.9104174361546082</v>
      </c>
      <c r="M99">
        <v>5.8218214312673879</v>
      </c>
      <c r="N99">
        <v>6.0590209697425443</v>
      </c>
      <c r="O99">
        <v>6.0267782081475421</v>
      </c>
      <c r="Q99" cm="1">
        <f t="array" ref="Q99:V99">($D$100-$D$99)+_xlfn.ANCHORARRAY(Q80)*($D$101-$D$100)+_xlfn.ANCHORARRAY(Q85)*($D$102-$D$100)</f>
        <v>5.7055779863432141</v>
      </c>
      <c r="R99">
        <v>5.97934571876511</v>
      </c>
      <c r="S99">
        <v>5.7410038014686391</v>
      </c>
      <c r="T99">
        <v>5.6455082053763626</v>
      </c>
      <c r="U99">
        <v>5.9069870180375137</v>
      </c>
      <c r="V99">
        <v>5.8624476406759358</v>
      </c>
      <c r="X99" cm="1">
        <f t="array" ref="X99:AC99">($D$100-$D$99)+_xlfn.ANCHORARRAY(X80)*($D$101-$D$100)+_xlfn.ANCHORARRAY(X85)*($D$102-$D$100)</f>
        <v>5.6614632682212811</v>
      </c>
      <c r="Y99">
        <v>5.8852440232105092</v>
      </c>
      <c r="Z99">
        <v>5.5631685872803871</v>
      </c>
      <c r="AA99">
        <v>5.4103789034265262</v>
      </c>
      <c r="AB99">
        <v>5.6422423691313339</v>
      </c>
      <c r="AC99">
        <v>5.5454229920026972</v>
      </c>
      <c r="AE99" cm="1">
        <f t="array" ref="AE99:AJ99">($D$100-$D$99)+_xlfn.ANCHORARRAY(AE80)*($D$101-$D$100)+_xlfn.ANCHORARRAY(AE85)*($D$102-$D$100)</f>
        <v>5.2577154994041999</v>
      </c>
      <c r="AF99">
        <v>5.6126374026923109</v>
      </c>
      <c r="AG99">
        <v>5.3644967213073667</v>
      </c>
      <c r="AH99">
        <v>5.3206735557445342</v>
      </c>
      <c r="AI99">
        <v>5.6562952260448176</v>
      </c>
      <c r="AJ99">
        <v>5.6562952260448176</v>
      </c>
    </row>
    <row r="100" spans="3:36" x14ac:dyDescent="0.25">
      <c r="C100" s="2" t="s">
        <v>47</v>
      </c>
      <c r="D100" s="3">
        <v>12</v>
      </c>
      <c r="E100" t="str">
        <f t="shared" si="16"/>
        <v>T2G</v>
      </c>
      <c r="F100" s="7" t="s">
        <v>114</v>
      </c>
      <c r="G100" s="7" t="s">
        <v>109</v>
      </c>
      <c r="I100" t="s">
        <v>36</v>
      </c>
      <c r="J100" cm="1">
        <f t="array" ref="J100:O100">($D$101-$D$100)-J84:O84/(1-J79:O79)*($D$102-$D$100)</f>
        <v>-1.5831451835457586</v>
      </c>
      <c r="K100">
        <v>-1.689255544198796</v>
      </c>
      <c r="L100">
        <v>-1.560128071596357</v>
      </c>
      <c r="M100">
        <v>-1.5100776020363309</v>
      </c>
      <c r="N100">
        <v>-1.6301736869879986</v>
      </c>
      <c r="O100">
        <v>-1.5944065349858363</v>
      </c>
      <c r="Q100" cm="1">
        <f t="array" ref="Q100:V100">($D$101-$D$100)-Q84:V84/(1-Q79:V79)*($D$102-$D$100)</f>
        <v>-1.1950794198114481</v>
      </c>
      <c r="R100">
        <v>-1.4142169916833338</v>
      </c>
      <c r="S100">
        <v>-1.2343095160068853</v>
      </c>
      <c r="T100">
        <v>-1.1959964662213571</v>
      </c>
      <c r="U100">
        <v>-1.4108751272190676</v>
      </c>
      <c r="V100">
        <v>-1.3899585765077171</v>
      </c>
      <c r="X100" cm="1">
        <f t="array" ref="X100:AC100">($D$101-$D$100)-X84:AC84/(1-X79:AC79)*($D$102-$D$100)</f>
        <v>-1.1205474090697178</v>
      </c>
      <c r="Y100">
        <v>-1.2399102725143627</v>
      </c>
      <c r="Z100">
        <v>-0.86600563509218942</v>
      </c>
      <c r="AA100">
        <v>-0.6421593322508401</v>
      </c>
      <c r="AB100">
        <v>-0.79470838844143454</v>
      </c>
      <c r="AC100">
        <v>-0.58192624617444899</v>
      </c>
      <c r="AE100" cm="1">
        <f t="array" ref="AE100:AJ100">($D$101-$D$100)-AE84:AJ84/(1-AE79:AJ79)*($D$102-$D$100)</f>
        <v>-0.28417738719582797</v>
      </c>
      <c r="AF100">
        <v>-0.68273893978468481</v>
      </c>
      <c r="AG100">
        <v>-0.42384063292804708</v>
      </c>
      <c r="AH100">
        <v>-0.40498441159359322</v>
      </c>
      <c r="AI100">
        <v>-0.78350340191734436</v>
      </c>
      <c r="AJ100">
        <v>-0.78350340191734436</v>
      </c>
    </row>
    <row r="101" spans="3:36" x14ac:dyDescent="0.25">
      <c r="C101" s="2" t="s">
        <v>48</v>
      </c>
      <c r="D101" s="3">
        <v>14</v>
      </c>
      <c r="E101" t="str">
        <f t="shared" si="16"/>
        <v>T3G</v>
      </c>
      <c r="F101" s="7" t="s">
        <v>123</v>
      </c>
      <c r="G101" s="7" t="s">
        <v>109</v>
      </c>
      <c r="I101" t="s">
        <v>37</v>
      </c>
      <c r="J101" cm="1">
        <f t="array" ref="J101:O101">($D$102-$D$100)-J79:O79/(1-J84:O84)*($D$101-$D$100)</f>
        <v>3.5370880553140749</v>
      </c>
      <c r="K101">
        <v>3.3439841448139833</v>
      </c>
      <c r="L101">
        <v>3.2135354355338643</v>
      </c>
      <c r="M101">
        <v>2.9281956690239612</v>
      </c>
      <c r="N101">
        <v>2.8903767894128047</v>
      </c>
      <c r="O101">
        <v>2.8363010814803165</v>
      </c>
      <c r="Q101" cm="1">
        <f t="array" ref="Q101:V101">($D$102-$D$100)-Q79:V79/(1-Q84:V84)*($D$101-$D$100)</f>
        <v>3.6957840069665142</v>
      </c>
      <c r="R101">
        <v>3.4861188464469146</v>
      </c>
      <c r="S101">
        <v>3.2936609522555611</v>
      </c>
      <c r="T101">
        <v>2.9272300411670038</v>
      </c>
      <c r="U101">
        <v>2.8048339805285405</v>
      </c>
      <c r="V101">
        <v>2.6729800175674363</v>
      </c>
      <c r="X101" cm="1">
        <f t="array" ref="X101:AC101">($D$102-$D$100)-X79:AC79/(1-X84:AC84)*($D$101-$D$100)</f>
        <v>3.6177596126615592</v>
      </c>
      <c r="Y101">
        <v>3.4566976765771029</v>
      </c>
      <c r="Z101">
        <v>3.3492642617158541</v>
      </c>
      <c r="AA101">
        <v>3.0887767951155372</v>
      </c>
      <c r="AB101">
        <v>3.0639926316512938</v>
      </c>
      <c r="AC101">
        <v>3.0221634517712221</v>
      </c>
      <c r="AE101" cm="1">
        <f t="array" ref="AE101:AJ101">($D$102-$D$100)-AE79:AJ79/(1-AE84:AJ84)*($D$101-$D$100)</f>
        <v>3.6137244149052448</v>
      </c>
      <c r="AF101">
        <v>3.4842676336934248</v>
      </c>
      <c r="AG101">
        <v>3.4152449120533404</v>
      </c>
      <c r="AH101">
        <v>3.2052918908090855</v>
      </c>
      <c r="AI101">
        <v>3.2215002990963351</v>
      </c>
      <c r="AJ101">
        <v>3.2215002990963351</v>
      </c>
    </row>
    <row r="102" spans="3:36" x14ac:dyDescent="0.25">
      <c r="C102" s="2" t="s">
        <v>49</v>
      </c>
      <c r="D102" s="3">
        <v>16</v>
      </c>
    </row>
    <row r="103" spans="3:36" x14ac:dyDescent="0.25">
      <c r="E103" t="str">
        <f t="shared" ref="E103:E106" si="52">_xlfn.TEXTJOIN("",TRUE,F103:G103)</f>
        <v>D(L)</v>
      </c>
      <c r="F103" s="7" t="s">
        <v>119</v>
      </c>
      <c r="I103" t="s">
        <v>38</v>
      </c>
      <c r="J103">
        <f>SUMPRODUCT(J87:J89,J91:J93,J95:J97,J99:J101)</f>
        <v>1.6235065809663662</v>
      </c>
      <c r="K103">
        <f t="shared" ref="K103:N103" si="53">SUMPRODUCT(K87:K89,K91:K93,K95:K97,K99:K101)</f>
        <v>1.1482495734909082</v>
      </c>
      <c r="L103">
        <f t="shared" si="53"/>
        <v>1.1602523858121094</v>
      </c>
      <c r="M103">
        <f t="shared" si="53"/>
        <v>1.0947472137002754</v>
      </c>
      <c r="N103">
        <f t="shared" si="53"/>
        <v>0.90660103360110067</v>
      </c>
      <c r="O103">
        <f>SUMPRODUCT(O87:O89,O91:O93,O95:O97,O99:O101)</f>
        <v>0.84231921009520194</v>
      </c>
      <c r="Q103">
        <f>SUMPRODUCT(Q87:Q89,Q91:Q93,Q95:Q97,Q99:Q101)</f>
        <v>1.0808756753270738</v>
      </c>
      <c r="R103">
        <f t="shared" ref="R103:U103" si="54">SUMPRODUCT(R87:R89,R91:R93,R95:R97,R99:R101)</f>
        <v>0.80891797964920764</v>
      </c>
      <c r="S103">
        <f t="shared" si="54"/>
        <v>0.79182381904186372</v>
      </c>
      <c r="T103">
        <f t="shared" si="54"/>
        <v>0.70289112778101559</v>
      </c>
      <c r="U103">
        <f t="shared" si="54"/>
        <v>0.56112186666764541</v>
      </c>
      <c r="V103">
        <f>SUMPRODUCT(V87:V89,V91:V93,V95:V97,V99:V101)</f>
        <v>0.47302208041854216</v>
      </c>
      <c r="X103">
        <f>SUMPRODUCT(X87:X89,X91:X93,X95:X97,X99:X101)</f>
        <v>0.94450564712495688</v>
      </c>
      <c r="Y103">
        <f t="shared" ref="Y103:AC103" si="55">SUMPRODUCT(Y87:Y89,Y91:Y93,Y95:Y97,Y99:Y101)</f>
        <v>0.59640022412690663</v>
      </c>
      <c r="Z103">
        <f>SUMPRODUCT(Z87:Z89,Z91:Z93,Z95:Z97,Z99:Z101)</f>
        <v>0.42067160120441</v>
      </c>
      <c r="AA103">
        <f t="shared" si="55"/>
        <v>0.20752191738319872</v>
      </c>
      <c r="AB103">
        <f t="shared" si="55"/>
        <v>-1.2222610976330654E-3</v>
      </c>
      <c r="AC103">
        <f t="shared" si="55"/>
        <v>-0.19893916448100932</v>
      </c>
      <c r="AE103">
        <f>SUMPRODUCT(AE87:AE89,AE91:AE93,AE95:AE97,AE99:AE101)</f>
        <v>0</v>
      </c>
      <c r="AF103">
        <f t="shared" ref="AF103:AJ103" si="56">SUMPRODUCT(AF87:AF89,AF91:AF93,AF95:AF97,AF99:AF101)</f>
        <v>0</v>
      </c>
      <c r="AG103">
        <f t="shared" si="56"/>
        <v>0</v>
      </c>
      <c r="AH103">
        <f t="shared" si="56"/>
        <v>0</v>
      </c>
      <c r="AI103">
        <f t="shared" si="56"/>
        <v>0</v>
      </c>
      <c r="AJ103">
        <f t="shared" si="56"/>
        <v>0</v>
      </c>
    </row>
    <row r="104" spans="3:36" x14ac:dyDescent="0.25">
      <c r="E104" t="str">
        <f t="shared" si="52"/>
        <v>T1Total</v>
      </c>
      <c r="F104" s="7" t="s">
        <v>99</v>
      </c>
      <c r="G104" s="7" t="s">
        <v>111</v>
      </c>
      <c r="I104" t="s">
        <v>39</v>
      </c>
      <c r="J104" cm="1">
        <f t="array" ref="J104:O106">J87:O89*J91:O93*J95:O97*J99:O101</f>
        <v>0.40413624382678198</v>
      </c>
      <c r="K104">
        <v>0.14952411321903708</v>
      </c>
      <c r="L104">
        <v>7.7748626200347254E-2</v>
      </c>
      <c r="M104">
        <v>0.10411526208640455</v>
      </c>
      <c r="N104">
        <v>0.11072462661016372</v>
      </c>
      <c r="O104">
        <v>0.11016020821821684</v>
      </c>
      <c r="Q104" cm="1">
        <f t="array" ref="Q104:V106">Q87:V89*Q91:V93*Q95:V97*Q99:V101</f>
        <v>0.2377763559578927</v>
      </c>
      <c r="R104">
        <v>9.0594841896240674E-2</v>
      </c>
      <c r="S104">
        <v>4.7112623063221122E-2</v>
      </c>
      <c r="T104">
        <v>6.2968202652664798E-2</v>
      </c>
      <c r="U104">
        <v>6.741864080501081E-2</v>
      </c>
      <c r="V104">
        <v>6.7028900987000595E-2</v>
      </c>
      <c r="X104" cm="1">
        <f t="array" ref="X104:AC106">X87:AC89*X91:AC93*X95:AC97*X99:AC101</f>
        <v>0.18787940245139079</v>
      </c>
      <c r="Y104">
        <v>6.3592045522947574E-2</v>
      </c>
      <c r="Z104">
        <v>2.8327828052205614E-2</v>
      </c>
      <c r="AA104">
        <v>3.1284590112393935E-2</v>
      </c>
      <c r="AB104">
        <v>2.6358178730927533E-2</v>
      </c>
      <c r="AC104">
        <v>1.8513267488635885E-2</v>
      </c>
    </row>
    <row r="105" spans="3:36" x14ac:dyDescent="0.25">
      <c r="E105" t="str">
        <f t="shared" si="52"/>
        <v>T2Total</v>
      </c>
      <c r="F105" s="7" t="s">
        <v>114</v>
      </c>
      <c r="G105" s="7" t="s">
        <v>111</v>
      </c>
      <c r="I105" t="s">
        <v>40</v>
      </c>
      <c r="J105">
        <v>-3.5225587443390306E-2</v>
      </c>
      <c r="K105">
        <v>-6.6564754116952563E-2</v>
      </c>
      <c r="L105">
        <v>-0.11493054775953353</v>
      </c>
      <c r="M105">
        <v>-0.20451483652202102</v>
      </c>
      <c r="N105">
        <v>-0.22404757077707399</v>
      </c>
      <c r="O105">
        <v>-0.26524863980034269</v>
      </c>
      <c r="Q105">
        <v>2.5329236781229017E-2</v>
      </c>
      <c r="R105">
        <v>6.5390229615332608E-4</v>
      </c>
      <c r="S105">
        <v>-4.9741843946488382E-2</v>
      </c>
      <c r="T105">
        <v>-0.15016958915912321</v>
      </c>
      <c r="U105">
        <v>-0.24615672995714338</v>
      </c>
      <c r="V105">
        <v>-0.35772699430330968</v>
      </c>
      <c r="X105">
        <v>1.2003055262347945E-3</v>
      </c>
      <c r="Y105">
        <v>-8.5271159375798246E-3</v>
      </c>
      <c r="Z105">
        <v>-1.7616254192032724E-2</v>
      </c>
      <c r="AA105">
        <v>-2.754251712730927E-2</v>
      </c>
      <c r="AB105">
        <v>-3.8063262751803821E-2</v>
      </c>
      <c r="AC105">
        <v>-3.4662901078181076E-2</v>
      </c>
    </row>
    <row r="106" spans="3:36" x14ac:dyDescent="0.25">
      <c r="E106" t="str">
        <f t="shared" si="52"/>
        <v>T3Total</v>
      </c>
      <c r="F106" s="7" t="s">
        <v>123</v>
      </c>
      <c r="G106" s="7" t="s">
        <v>111</v>
      </c>
      <c r="I106" t="s">
        <v>41</v>
      </c>
      <c r="J106">
        <v>1.2545959245829745</v>
      </c>
      <c r="K106">
        <v>1.0652902143888237</v>
      </c>
      <c r="L106">
        <v>1.1974343073712956</v>
      </c>
      <c r="M106">
        <v>1.1951467881358919</v>
      </c>
      <c r="N106">
        <v>1.0199239777680109</v>
      </c>
      <c r="O106">
        <v>0.99740764167732776</v>
      </c>
      <c r="Q106">
        <v>0.81777008258795214</v>
      </c>
      <c r="R106">
        <v>0.7176692354568136</v>
      </c>
      <c r="S106">
        <v>0.79445303992513094</v>
      </c>
      <c r="T106">
        <v>0.79009251428747396</v>
      </c>
      <c r="U106">
        <v>0.73985995581977804</v>
      </c>
      <c r="V106">
        <v>0.76372017373485124</v>
      </c>
      <c r="X106">
        <v>0.75542593914733136</v>
      </c>
      <c r="Y106">
        <v>0.54133529454153884</v>
      </c>
      <c r="Z106">
        <v>0.40996002734423709</v>
      </c>
      <c r="AA106">
        <v>0.20377984439811406</v>
      </c>
      <c r="AB106">
        <v>1.0482822923243222E-2</v>
      </c>
      <c r="AC106">
        <v>-0.18278953089146413</v>
      </c>
    </row>
    <row r="108" spans="3:36" x14ac:dyDescent="0.25">
      <c r="E108" t="str">
        <f t="shared" ref="E108" si="57">_xlfn.TEXTJOIN("",TRUE,F108:G108)</f>
        <v>Expected</v>
      </c>
      <c r="F108" s="7" t="s">
        <v>116</v>
      </c>
      <c r="I108" s="5" t="s">
        <v>50</v>
      </c>
      <c r="J108">
        <f t="shared" ref="J108:O108" si="58">(1-J74)*$D$99+J74*(1-J79-J84)*$D$100+J74*J79*$D$101+J74*J84*$D$102</f>
        <v>15.462764672042983</v>
      </c>
      <c r="K108">
        <f t="shared" si="58"/>
        <v>15.602861213574196</v>
      </c>
      <c r="L108">
        <f t="shared" si="58"/>
        <v>15.443587087056791</v>
      </c>
      <c r="M108">
        <f t="shared" si="58"/>
        <v>15.305927185446173</v>
      </c>
      <c r="N108">
        <f t="shared" si="58"/>
        <v>15.443972573853651</v>
      </c>
      <c r="O108">
        <f t="shared" si="58"/>
        <v>15.379690750347747</v>
      </c>
      <c r="Q108">
        <f t="shared" ref="Q108:V108" si="59">(1-Q74)*$D$99+Q74*(1-Q79-Q84)*$D$100+Q74*Q79*$D$101+Q74*Q84*$D$102</f>
        <v>14.920133766403694</v>
      </c>
      <c r="R108">
        <f t="shared" si="59"/>
        <v>15.263529619732489</v>
      </c>
      <c r="S108">
        <f t="shared" si="59"/>
        <v>15.075158520286546</v>
      </c>
      <c r="T108">
        <f t="shared" si="59"/>
        <v>14.914071099526915</v>
      </c>
      <c r="U108">
        <f t="shared" si="59"/>
        <v>15.098493406920195</v>
      </c>
      <c r="V108">
        <f t="shared" si="59"/>
        <v>15.01039362067109</v>
      </c>
      <c r="X108">
        <f t="shared" ref="X108:AC108" si="60">(1-X74)*$D$99+X74*(1-X79-X84)*$D$100+X74*X79*$D$101+X74*X84*$D$102</f>
        <v>14.783763738201577</v>
      </c>
      <c r="Y108">
        <f t="shared" si="60"/>
        <v>15.051011864210189</v>
      </c>
      <c r="Z108">
        <f t="shared" si="60"/>
        <v>14.704006302449093</v>
      </c>
      <c r="AA108">
        <f t="shared" si="60"/>
        <v>14.4187018891291</v>
      </c>
      <c r="AB108">
        <f t="shared" si="60"/>
        <v>14.536149279154914</v>
      </c>
      <c r="AC108">
        <f t="shared" si="60"/>
        <v>14.338432375771539</v>
      </c>
      <c r="AE108">
        <f t="shared" ref="AE108:AJ108" si="61">(1-AE74)*$D$99+AE74*(1-AE79-AE84)*$D$100+AE74*AE79*$D$101+AE74*AE84*$D$102</f>
        <v>13.839258091076619</v>
      </c>
      <c r="AF108">
        <f t="shared" si="61"/>
        <v>14.454611640083282</v>
      </c>
      <c r="AG108">
        <f t="shared" si="61"/>
        <v>14.283334701244684</v>
      </c>
      <c r="AH108">
        <f t="shared" si="61"/>
        <v>14.211179971745903</v>
      </c>
      <c r="AI108">
        <f t="shared" si="61"/>
        <v>14.537371540252547</v>
      </c>
      <c r="AJ108">
        <f t="shared" si="61"/>
        <v>14.537371540252547</v>
      </c>
    </row>
    <row r="109" spans="3:36" x14ac:dyDescent="0.25">
      <c r="I109" s="5" t="s">
        <v>51</v>
      </c>
      <c r="J109" cm="1">
        <f t="array" ref="J109:O109">J108:O108-$AE$108:$AJ$108</f>
        <v>1.6235065809663638</v>
      </c>
      <c r="K109">
        <v>1.1482495734909133</v>
      </c>
      <c r="L109">
        <v>1.1602523858121074</v>
      </c>
      <c r="M109">
        <v>1.0947472137002698</v>
      </c>
      <c r="N109">
        <v>0.90660103360110433</v>
      </c>
      <c r="O109">
        <v>0.84231921009519972</v>
      </c>
      <c r="Q109" cm="1">
        <f t="array" ref="Q109:V109">Q108:V108-$AE$108:$AJ$108</f>
        <v>1.080875675327075</v>
      </c>
      <c r="R109">
        <v>0.8089179796492072</v>
      </c>
      <c r="S109">
        <v>0.79182381904186272</v>
      </c>
      <c r="T109">
        <v>0.7028911277810117</v>
      </c>
      <c r="U109">
        <v>0.56112186666764785</v>
      </c>
      <c r="V109">
        <v>0.47302208041854321</v>
      </c>
      <c r="X109" cm="1">
        <f t="array" ref="X109:AC109">X108:AC108-$AE$108:$AJ$108</f>
        <v>0.94450564712495755</v>
      </c>
      <c r="Y109">
        <v>0.59640022412690641</v>
      </c>
      <c r="Z109">
        <v>0.42067160120440938</v>
      </c>
      <c r="AA109">
        <v>0.20752191738319681</v>
      </c>
      <c r="AB109">
        <v>-1.222261097632682E-3</v>
      </c>
      <c r="AC109">
        <v>-0.19893916448100768</v>
      </c>
      <c r="AE109" cm="1">
        <f t="array" ref="AE109:AJ109">AE108:AJ108-$AE$108:$AJ$108</f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3:36" x14ac:dyDescent="0.25">
      <c r="I110" s="5"/>
    </row>
    <row r="111" spans="3:36" x14ac:dyDescent="0.25">
      <c r="E111" t="str">
        <f>_xlfn.TEXTJOIN("",TRUE,F111:G111)</f>
        <v>T1Weight</v>
      </c>
      <c r="F111" s="7" t="s">
        <v>99</v>
      </c>
      <c r="G111" s="11" t="s">
        <v>124</v>
      </c>
      <c r="I111" t="s">
        <v>39</v>
      </c>
      <c r="J111" cm="1">
        <f t="array" ref="J111:O113">J91:O93*J95:O97*J99:O101</f>
        <v>5.9963839825840429E-2</v>
      </c>
      <c r="K111">
        <v>2.2147480744119975E-2</v>
      </c>
      <c r="L111">
        <v>1.1496283108424571E-2</v>
      </c>
      <c r="M111">
        <v>1.5368480065429324E-2</v>
      </c>
      <c r="N111">
        <v>1.6315962808684466E-2</v>
      </c>
      <c r="O111">
        <v>1.62048627369164E-2</v>
      </c>
      <c r="Q111" cm="1">
        <f t="array" ref="Q111:V113">Q91:V93*Q95:V97*Q99:V101</f>
        <v>0.19910885202344036</v>
      </c>
      <c r="R111">
        <v>7.556648174924234E-2</v>
      </c>
      <c r="S111">
        <v>3.9144419166645461E-2</v>
      </c>
      <c r="T111">
        <v>5.2115114109081158E-2</v>
      </c>
      <c r="U111">
        <v>5.5582130503288141E-2</v>
      </c>
      <c r="V111">
        <v>5.5046923693396352E-2</v>
      </c>
      <c r="X111" cm="1">
        <f t="array" ref="X111:AC113">X91:AC93*X95:AC97*X99:AC101</f>
        <v>0.24180293323571117</v>
      </c>
      <c r="Y111">
        <v>9.9234135575903937E-2</v>
      </c>
      <c r="Z111">
        <v>5.4995163288070609E-2</v>
      </c>
      <c r="AA111">
        <v>7.8407586746015168E-2</v>
      </c>
      <c r="AB111">
        <v>9.0330066558381689E-2</v>
      </c>
      <c r="AC111">
        <v>9.6017208804852497E-2</v>
      </c>
      <c r="AE111" cm="1">
        <f t="array" ref="AE111:AJ113">AE91:AJ93*AE95:AJ97*AE99:AJ101</f>
        <v>0.38515271494809322</v>
      </c>
      <c r="AF111">
        <v>0.15357649217581165</v>
      </c>
      <c r="AG111">
        <v>7.9934081293610529E-2</v>
      </c>
      <c r="AH111">
        <v>0.10724032699813113</v>
      </c>
      <c r="AI111">
        <v>0.11642331364456167</v>
      </c>
      <c r="AJ111">
        <v>0.11642331364456167</v>
      </c>
    </row>
    <row r="112" spans="3:36" x14ac:dyDescent="0.25">
      <c r="E112" t="str">
        <f t="shared" ref="E112:E113" si="62">_xlfn.TEXTJOIN("",TRUE,F112:G112)</f>
        <v>T2Weight</v>
      </c>
      <c r="F112" s="7" t="s">
        <v>113</v>
      </c>
      <c r="G112" s="11" t="s">
        <v>124</v>
      </c>
      <c r="I112" t="s">
        <v>40</v>
      </c>
      <c r="J112">
        <v>-0.13645497962097153</v>
      </c>
      <c r="K112">
        <v>-0.16444713481424178</v>
      </c>
      <c r="L112">
        <v>-0.20216485109107016</v>
      </c>
      <c r="M112">
        <v>-0.27221459199190323</v>
      </c>
      <c r="N112">
        <v>-0.23450521620777165</v>
      </c>
      <c r="O112">
        <v>-0.22416039433943238</v>
      </c>
      <c r="Q112">
        <v>-0.10109520299943871</v>
      </c>
      <c r="R112">
        <v>-0.13536440000087233</v>
      </c>
      <c r="S112">
        <v>-0.15474266795937155</v>
      </c>
      <c r="T112">
        <v>-0.19897830546126696</v>
      </c>
      <c r="U112">
        <v>-0.18507939752786681</v>
      </c>
      <c r="V112">
        <v>-0.17084003306506185</v>
      </c>
      <c r="X112">
        <v>-9.294119124603048E-2</v>
      </c>
      <c r="Y112">
        <v>-0.11617960533026488</v>
      </c>
      <c r="Z112">
        <v>-0.10532658597283708</v>
      </c>
      <c r="AA112">
        <v>-0.10226757010277136</v>
      </c>
      <c r="AB112">
        <v>-0.10008555174865774</v>
      </c>
      <c r="AC112">
        <v>-6.9187258969377788E-2</v>
      </c>
      <c r="AE112">
        <v>-2.2087855256639664E-2</v>
      </c>
      <c r="AF112">
        <v>-6.113265025197246E-2</v>
      </c>
      <c r="AG112">
        <v>-5.0262761538167749E-2</v>
      </c>
      <c r="AH112">
        <v>-6.5384950065901143E-2</v>
      </c>
      <c r="AI112">
        <v>-0.10431457162233079</v>
      </c>
      <c r="AJ112">
        <v>-0.10431457162233079</v>
      </c>
    </row>
    <row r="113" spans="5:36" x14ac:dyDescent="0.25">
      <c r="E113" t="str">
        <f t="shared" si="62"/>
        <v>T3Weight</v>
      </c>
      <c r="F113" s="7" t="s">
        <v>115</v>
      </c>
      <c r="G113" s="11" t="s">
        <v>124</v>
      </c>
      <c r="I113" t="s">
        <v>41</v>
      </c>
      <c r="J113">
        <v>0.22991121071579559</v>
      </c>
      <c r="K113">
        <v>0.22058135715705138</v>
      </c>
      <c r="L113">
        <v>0.28088840283909411</v>
      </c>
      <c r="M113">
        <v>0.31856782837017783</v>
      </c>
      <c r="N113">
        <v>0.31001524933902308</v>
      </c>
      <c r="O113">
        <v>0.34715739985451</v>
      </c>
      <c r="Q113">
        <v>0.41265053745459396</v>
      </c>
      <c r="R113">
        <v>0.38545902787891539</v>
      </c>
      <c r="S113">
        <v>0.45480916310284564</v>
      </c>
      <c r="T113">
        <v>0.48284204108913015</v>
      </c>
      <c r="U113">
        <v>0.48346351415328853</v>
      </c>
      <c r="V113">
        <v>0.53459716033772064</v>
      </c>
      <c r="X113">
        <v>0.45360277670723348</v>
      </c>
      <c r="Y113">
        <v>0.49529148901825937</v>
      </c>
      <c r="Z113">
        <v>0.63710661667068791</v>
      </c>
      <c r="AA113">
        <v>0.70144487833529923</v>
      </c>
      <c r="AB113">
        <v>0.78467679632767817</v>
      </c>
      <c r="AC113">
        <v>0.89483011045869132</v>
      </c>
      <c r="AE113">
        <v>0.83046557359745121</v>
      </c>
      <c r="AF113">
        <v>0.81143565490025804</v>
      </c>
      <c r="AG113">
        <v>0.83939362427332986</v>
      </c>
      <c r="AH113">
        <v>0.78303594701767565</v>
      </c>
      <c r="AI113">
        <v>0.76677082356025394</v>
      </c>
      <c r="AJ113">
        <v>0.76677082356025394</v>
      </c>
    </row>
    <row r="115" spans="5:36" x14ac:dyDescent="0.25">
      <c r="I115" t="s">
        <v>42</v>
      </c>
      <c r="J115">
        <f t="shared" ref="J115:O115" si="63">SUMPRODUCT($C$26:$C$46,J26:J46)</f>
        <v>-1.2001081805423213</v>
      </c>
      <c r="K115">
        <f t="shared" si="63"/>
        <v>-0.71720876585721349</v>
      </c>
      <c r="L115">
        <f t="shared" si="63"/>
        <v>-0.43374555907181911</v>
      </c>
      <c r="M115">
        <f t="shared" si="63"/>
        <v>0.14385623709431261</v>
      </c>
      <c r="N115">
        <f t="shared" si="63"/>
        <v>0.22013105473288075</v>
      </c>
      <c r="O115">
        <f t="shared" si="63"/>
        <v>0.33037024020794625</v>
      </c>
      <c r="Q115">
        <f t="shared" ref="Q115:V115" si="64">SUMPRODUCT($C$26:$C$46,Q26:Q46)</f>
        <v>-1.7181625013408386</v>
      </c>
      <c r="R115">
        <f t="shared" si="64"/>
        <v>-1.0619311795485473</v>
      </c>
      <c r="S115">
        <f t="shared" si="64"/>
        <v>-0.60513606565596945</v>
      </c>
      <c r="T115">
        <f t="shared" si="64"/>
        <v>0.14579763761734577</v>
      </c>
      <c r="U115">
        <f t="shared" si="64"/>
        <v>0.39540436236309739</v>
      </c>
      <c r="V115">
        <f t="shared" si="64"/>
        <v>0.67897545494534617</v>
      </c>
      <c r="X115">
        <f t="shared" ref="X115:AC115" si="65">SUMPRODUCT($C$26:$C$46,X26:X46)</f>
        <v>-1.4427478189988858</v>
      </c>
      <c r="Y115">
        <f t="shared" si="65"/>
        <v>-0.98626135741381238</v>
      </c>
      <c r="Z115">
        <f t="shared" si="65"/>
        <v>-0.72921110372845233</v>
      </c>
      <c r="AA115">
        <f t="shared" si="65"/>
        <v>-0.17802226066235516</v>
      </c>
      <c r="AB115">
        <f t="shared" si="65"/>
        <v>-0.12816039612382157</v>
      </c>
      <c r="AC115">
        <f t="shared" si="65"/>
        <v>-4.4334163748790623E-2</v>
      </c>
      <c r="AE115">
        <f t="shared" ref="AE115:AJ115" si="66">SUMPRODUCT($C$26:$C$46,AE26:AE46)</f>
        <v>-1.4297490218542763</v>
      </c>
      <c r="AF115">
        <f t="shared" si="66"/>
        <v>-1.0570887926442341</v>
      </c>
      <c r="AG115">
        <f t="shared" si="66"/>
        <v>-0.88386477133390506</v>
      </c>
      <c r="AH115">
        <f t="shared" si="66"/>
        <v>-0.41650216064283896</v>
      </c>
      <c r="AI115">
        <f t="shared" si="66"/>
        <v>-0.45046652847933633</v>
      </c>
      <c r="AJ115">
        <f t="shared" si="66"/>
        <v>-0.45046652847933633</v>
      </c>
    </row>
    <row r="116" spans="5:36" x14ac:dyDescent="0.25">
      <c r="I116" t="s">
        <v>26</v>
      </c>
      <c r="J116">
        <f t="shared" ref="J116:O116" si="67">SUMPRODUCT($C$47:$C$67,J47:J67)</f>
        <v>2.151258237395588</v>
      </c>
      <c r="K116">
        <f t="shared" si="67"/>
        <v>2.4742090782568082</v>
      </c>
      <c r="L116">
        <f t="shared" si="67"/>
        <v>2.0910681856337172</v>
      </c>
      <c r="M116">
        <f t="shared" si="67"/>
        <v>1.9691464179979083</v>
      </c>
      <c r="N116">
        <f t="shared" si="67"/>
        <v>2.2840023026370222</v>
      </c>
      <c r="O116">
        <f t="shared" si="67"/>
        <v>2.1817828356071418</v>
      </c>
      <c r="Q116">
        <f t="shared" ref="Q116:V116" si="68">SUMPRODUCT($C$47:$C$67,Q47:Q67)</f>
        <v>1.3786236096330009</v>
      </c>
      <c r="R116">
        <f t="shared" si="68"/>
        <v>1.762754032676195</v>
      </c>
      <c r="S116">
        <f t="shared" si="68"/>
        <v>1.4407927222350791</v>
      </c>
      <c r="T116">
        <f t="shared" si="68"/>
        <v>1.3800505367812439</v>
      </c>
      <c r="U116">
        <f t="shared" si="68"/>
        <v>1.7560860036023322</v>
      </c>
      <c r="V116">
        <f t="shared" si="68"/>
        <v>1.715046118754427</v>
      </c>
      <c r="X116">
        <f t="shared" ref="X116:AC116" si="69">SUMPRODUCT($C$47:$C$67,X47:X67)</f>
        <v>1.2664640588843492</v>
      </c>
      <c r="Y116">
        <f t="shared" si="69"/>
        <v>1.4498644259418396</v>
      </c>
      <c r="Z116">
        <f t="shared" si="69"/>
        <v>0.92717305951501872</v>
      </c>
      <c r="AA116">
        <f t="shared" si="69"/>
        <v>0.66570081807547998</v>
      </c>
      <c r="AB116">
        <f t="shared" si="69"/>
        <v>0.84100622891086441</v>
      </c>
      <c r="AC116">
        <f t="shared" si="69"/>
        <v>0.59923628807725504</v>
      </c>
      <c r="AE116">
        <f t="shared" ref="AE116:AJ116" si="70">SUMPRODUCT($C$47:$C$67,AE47:AE67)</f>
        <v>0.28611333069429201</v>
      </c>
      <c r="AF116">
        <f t="shared" si="70"/>
        <v>0.71128363858539156</v>
      </c>
      <c r="AG116">
        <f t="shared" si="70"/>
        <v>0.43036221299218025</v>
      </c>
      <c r="AH116">
        <f t="shared" si="70"/>
        <v>0.41065991238625066</v>
      </c>
      <c r="AI116">
        <f t="shared" si="70"/>
        <v>0.827735264055244</v>
      </c>
      <c r="AJ116">
        <f t="shared" si="70"/>
        <v>0.827735264055244</v>
      </c>
    </row>
    <row r="118" spans="5:36" x14ac:dyDescent="0.25">
      <c r="I118" t="s">
        <v>43</v>
      </c>
      <c r="J118">
        <f t="shared" ref="J118:O120" si="71">EXP(J115)/(1+EXP(J$115)+EXP(J$116))</f>
        <v>3.0430114737937303E-2</v>
      </c>
      <c r="K118">
        <f t="shared" si="71"/>
        <v>3.6534223455795808E-2</v>
      </c>
      <c r="L118">
        <f t="shared" si="71"/>
        <v>6.6526538740057733E-2</v>
      </c>
      <c r="M118">
        <f t="shared" si="71"/>
        <v>0.12390641050087403</v>
      </c>
      <c r="N118">
        <f t="shared" si="71"/>
        <v>0.10331842238168071</v>
      </c>
      <c r="O118">
        <f t="shared" si="71"/>
        <v>0.12364810379889714</v>
      </c>
      <c r="Q118">
        <f t="shared" ref="Q118:V120" si="72">EXP(Q115)/(1+EXP(Q$115)+EXP(Q$116))</f>
        <v>3.4841991117033691E-2</v>
      </c>
      <c r="R118">
        <f t="shared" si="72"/>
        <v>4.8198372135446109E-2</v>
      </c>
      <c r="S118">
        <f t="shared" si="72"/>
        <v>9.4626698459579578E-2</v>
      </c>
      <c r="T118">
        <f t="shared" si="72"/>
        <v>0.18867414543965882</v>
      </c>
      <c r="U118">
        <f t="shared" si="72"/>
        <v>0.17946047265566753</v>
      </c>
      <c r="V118">
        <f t="shared" si="72"/>
        <v>0.23120007073022228</v>
      </c>
      <c r="X118">
        <f t="shared" ref="X118:AC120" si="73">EXP(X115)/(1+EXP(X$115)+EXP(X$116))</f>
        <v>4.9383338521389875E-2</v>
      </c>
      <c r="Y118">
        <f t="shared" si="73"/>
        <v>6.6181908969308284E-2</v>
      </c>
      <c r="Z118">
        <f t="shared" si="73"/>
        <v>0.12028233722485264</v>
      </c>
      <c r="AA118">
        <f t="shared" si="73"/>
        <v>0.22124584041211881</v>
      </c>
      <c r="AB118">
        <f t="shared" si="73"/>
        <v>0.20953456468498727</v>
      </c>
      <c r="AC118">
        <f t="shared" si="73"/>
        <v>0.25325458197273315</v>
      </c>
      <c r="AE118">
        <f t="shared" ref="AE118:AJ120" si="74">EXP(AE115)/(1+EXP(AE$115)+EXP(AE$116))</f>
        <v>9.3117499786824945E-2</v>
      </c>
      <c r="AF118">
        <f t="shared" si="74"/>
        <v>0.10267692818939275</v>
      </c>
      <c r="AG118">
        <f t="shared" si="74"/>
        <v>0.14001468243077861</v>
      </c>
      <c r="AH118">
        <f t="shared" si="74"/>
        <v>0.20818296565366584</v>
      </c>
      <c r="AI118">
        <f t="shared" si="74"/>
        <v>0.16235816661578009</v>
      </c>
      <c r="AJ118">
        <f t="shared" si="74"/>
        <v>0.16235816661578009</v>
      </c>
    </row>
    <row r="119" spans="5:36" x14ac:dyDescent="0.25">
      <c r="I119" t="s">
        <v>44</v>
      </c>
      <c r="J119">
        <f t="shared" si="71"/>
        <v>0.8685274161219434</v>
      </c>
      <c r="K119">
        <f t="shared" si="71"/>
        <v>0.88861786444037594</v>
      </c>
      <c r="L119">
        <f t="shared" si="71"/>
        <v>0.83082126838043369</v>
      </c>
      <c r="M119">
        <f t="shared" si="71"/>
        <v>0.76878912144712341</v>
      </c>
      <c r="N119">
        <f t="shared" si="71"/>
        <v>0.81377746716922728</v>
      </c>
      <c r="O119">
        <f t="shared" si="71"/>
        <v>0.78749124566311834</v>
      </c>
      <c r="Q119">
        <f t="shared" si="72"/>
        <v>0.77093912276204013</v>
      </c>
      <c r="R119">
        <f t="shared" si="72"/>
        <v>0.81241432264175428</v>
      </c>
      <c r="S119">
        <f t="shared" si="72"/>
        <v>0.73206437117768819</v>
      </c>
      <c r="T119">
        <f t="shared" si="72"/>
        <v>0.64824864103221835</v>
      </c>
      <c r="U119">
        <f t="shared" si="72"/>
        <v>0.69968946617971839</v>
      </c>
      <c r="V119">
        <f t="shared" si="72"/>
        <v>0.6515499784616523</v>
      </c>
      <c r="X119">
        <f t="shared" si="73"/>
        <v>0.74161108999889525</v>
      </c>
      <c r="Y119">
        <f t="shared" si="73"/>
        <v>0.75637170644752272</v>
      </c>
      <c r="Z119">
        <f t="shared" si="73"/>
        <v>0.63031894470092575</v>
      </c>
      <c r="AA119">
        <f t="shared" si="73"/>
        <v>0.51439814257107008</v>
      </c>
      <c r="AB119">
        <f t="shared" si="73"/>
        <v>0.55228009571196901</v>
      </c>
      <c r="AC119">
        <f t="shared" si="73"/>
        <v>0.48201039850377769</v>
      </c>
      <c r="AE119">
        <f t="shared" si="74"/>
        <v>0.51787012495763751</v>
      </c>
      <c r="AF119">
        <f t="shared" si="74"/>
        <v>0.60182088657838129</v>
      </c>
      <c r="AG119">
        <f t="shared" si="74"/>
        <v>0.52111683911145235</v>
      </c>
      <c r="AH119">
        <f t="shared" si="74"/>
        <v>0.4760769061093007</v>
      </c>
      <c r="AI119">
        <f t="shared" si="74"/>
        <v>0.58289472320331437</v>
      </c>
      <c r="AJ119">
        <f t="shared" si="74"/>
        <v>0.58289472320331437</v>
      </c>
    </row>
    <row r="120" spans="5:36" x14ac:dyDescent="0.25">
      <c r="I120" t="s">
        <v>45</v>
      </c>
      <c r="J120">
        <f t="shared" si="71"/>
        <v>0.10104246914011933</v>
      </c>
      <c r="K120">
        <f t="shared" si="71"/>
        <v>7.4847912103828254E-2</v>
      </c>
      <c r="L120">
        <f t="shared" si="71"/>
        <v>0.10265219287950859</v>
      </c>
      <c r="M120">
        <f t="shared" si="71"/>
        <v>0.10730446805200257</v>
      </c>
      <c r="N120">
        <f t="shared" si="71"/>
        <v>8.2904110449092058E-2</v>
      </c>
      <c r="O120">
        <f t="shared" si="71"/>
        <v>8.8860650537984573E-2</v>
      </c>
      <c r="Q120">
        <f t="shared" si="72"/>
        <v>0.19421888612092619</v>
      </c>
      <c r="R120">
        <f t="shared" si="72"/>
        <v>0.1393873052227996</v>
      </c>
      <c r="S120">
        <f t="shared" si="72"/>
        <v>0.17330893036273218</v>
      </c>
      <c r="T120">
        <f t="shared" si="72"/>
        <v>0.16307721352812271</v>
      </c>
      <c r="U120">
        <f t="shared" si="72"/>
        <v>0.12085006116461408</v>
      </c>
      <c r="V120">
        <f t="shared" si="72"/>
        <v>0.11724995080812546</v>
      </c>
      <c r="X120">
        <f t="shared" si="73"/>
        <v>0.2090055714797148</v>
      </c>
      <c r="Y120">
        <f t="shared" si="73"/>
        <v>0.17744638458316914</v>
      </c>
      <c r="Z120">
        <f t="shared" si="73"/>
        <v>0.24939871807422151</v>
      </c>
      <c r="AA120">
        <f t="shared" si="73"/>
        <v>0.26435601701681105</v>
      </c>
      <c r="AB120">
        <f t="shared" si="73"/>
        <v>0.23818533960304378</v>
      </c>
      <c r="AC120">
        <f t="shared" si="73"/>
        <v>0.2647350195234891</v>
      </c>
      <c r="AE120">
        <f t="shared" si="74"/>
        <v>0.38901237525553767</v>
      </c>
      <c r="AF120">
        <f t="shared" si="74"/>
        <v>0.29550218523222593</v>
      </c>
      <c r="AG120">
        <f t="shared" si="74"/>
        <v>0.33886847845776913</v>
      </c>
      <c r="AH120">
        <f t="shared" si="74"/>
        <v>0.31574012823703351</v>
      </c>
      <c r="AI120">
        <f t="shared" si="74"/>
        <v>0.25474711018090546</v>
      </c>
      <c r="AJ120">
        <f t="shared" si="74"/>
        <v>0.25474711018090546</v>
      </c>
    </row>
    <row r="132" spans="8:14" x14ac:dyDescent="0.25">
      <c r="H132" s="5" t="s">
        <v>50</v>
      </c>
      <c r="I132" s="6" t="s">
        <v>81</v>
      </c>
      <c r="J132" s="7" t="s">
        <v>82</v>
      </c>
      <c r="K132" s="6" t="s">
        <v>83</v>
      </c>
      <c r="L132" s="7" t="s">
        <v>84</v>
      </c>
      <c r="M132" s="6" t="s">
        <v>85</v>
      </c>
      <c r="N132" s="7" t="s">
        <v>86</v>
      </c>
    </row>
    <row r="133" spans="8:14" x14ac:dyDescent="0.25">
      <c r="H133" s="7" t="s">
        <v>87</v>
      </c>
      <c r="I133" s="6" cm="1">
        <f t="array" ref="I133">_xlfn.ANCHORARRAY(J108)</f>
        <v>15.462764672042983</v>
      </c>
      <c r="J133" s="6" cm="1">
        <f t="array" ref="J133">_xlfn.ANCHORARRAY(K108)</f>
        <v>15.602861213574196</v>
      </c>
      <c r="K133" s="6" cm="1">
        <f t="array" ref="K133">_xlfn.ANCHORARRAY(L108)</f>
        <v>15.443587087056791</v>
      </c>
      <c r="L133" s="6" cm="1">
        <f t="array" ref="L133">_xlfn.ANCHORARRAY(M108)</f>
        <v>15.305927185446173</v>
      </c>
      <c r="M133" s="6" cm="1">
        <f t="array" ref="M133">_xlfn.ANCHORARRAY(N108)</f>
        <v>15.443972573853651</v>
      </c>
      <c r="N133" s="6" cm="1">
        <f t="array" ref="N133">_xlfn.ANCHORARRAY(O108)</f>
        <v>15.379690750347747</v>
      </c>
    </row>
    <row r="134" spans="8:14" x14ac:dyDescent="0.25">
      <c r="H134" s="7" t="s">
        <v>88</v>
      </c>
      <c r="I134" s="6" cm="1">
        <f t="array" ref="I134">_xlfn.ANCHORARRAY(Q108)</f>
        <v>14.920133766403694</v>
      </c>
      <c r="J134" s="6" cm="1">
        <f t="array" ref="J134">_xlfn.ANCHORARRAY(R108)</f>
        <v>15.263529619732489</v>
      </c>
      <c r="K134" s="6" cm="1">
        <f t="array" ref="K134">_xlfn.ANCHORARRAY(S108)</f>
        <v>15.075158520286546</v>
      </c>
      <c r="L134" s="6" cm="1">
        <f t="array" ref="L134">_xlfn.ANCHORARRAY(T108)</f>
        <v>14.914071099526915</v>
      </c>
      <c r="M134" s="6" cm="1">
        <f t="array" ref="M134">_xlfn.ANCHORARRAY(U108)</f>
        <v>15.098493406920195</v>
      </c>
      <c r="N134" s="6" cm="1">
        <f t="array" ref="N134">_xlfn.ANCHORARRAY(V108)</f>
        <v>15.01039362067109</v>
      </c>
    </row>
    <row r="135" spans="8:14" x14ac:dyDescent="0.25">
      <c r="H135" s="7" t="s">
        <v>89</v>
      </c>
      <c r="I135" s="6" cm="1">
        <f t="array" ref="I135">_xlfn.ANCHORARRAY(X108)</f>
        <v>14.783763738201577</v>
      </c>
      <c r="J135" s="6" cm="1">
        <f t="array" ref="J135">_xlfn.ANCHORARRAY(Y108)</f>
        <v>15.051011864210189</v>
      </c>
      <c r="K135" s="6" cm="1">
        <f t="array" ref="K135">_xlfn.ANCHORARRAY(Z108)</f>
        <v>14.704006302449093</v>
      </c>
      <c r="L135" s="6" cm="1">
        <f t="array" ref="L135">_xlfn.ANCHORARRAY(AA108)</f>
        <v>14.4187018891291</v>
      </c>
      <c r="M135" s="6" cm="1">
        <f t="array" ref="M135">_xlfn.ANCHORARRAY(AB108)</f>
        <v>14.536149279154914</v>
      </c>
      <c r="N135" s="6" cm="1">
        <f t="array" ref="N135">_xlfn.ANCHORARRAY(AC108)</f>
        <v>14.338432375771539</v>
      </c>
    </row>
    <row r="136" spans="8:14" x14ac:dyDescent="0.25">
      <c r="H136" s="7" t="s">
        <v>90</v>
      </c>
      <c r="I136" s="6" cm="1">
        <f t="array" ref="I136">_xlfn.ANCHORARRAY(AE108)</f>
        <v>13.839258091076619</v>
      </c>
      <c r="J136" s="6" cm="1">
        <f t="array" ref="J136">_xlfn.ANCHORARRAY(AF108)</f>
        <v>14.454611640083282</v>
      </c>
      <c r="K136" s="6" cm="1">
        <f t="array" ref="K136">_xlfn.ANCHORARRAY(AG108)</f>
        <v>14.283334701244684</v>
      </c>
      <c r="L136" s="6" cm="1">
        <f t="array" ref="L136">_xlfn.ANCHORARRAY(AH108)</f>
        <v>14.211179971745903</v>
      </c>
      <c r="M136" s="6" cm="1">
        <f t="array" ref="M136">_xlfn.ANCHORARRAY(AI108)</f>
        <v>14.537371540252547</v>
      </c>
      <c r="N136" s="6" cm="1">
        <f t="array" ref="N136">_xlfn.ANCHORARRAY(AJ108)</f>
        <v>14.537371540252547</v>
      </c>
    </row>
    <row r="137" spans="8:14" x14ac:dyDescent="0.25">
      <c r="H137" s="7" t="s">
        <v>91</v>
      </c>
      <c r="I137" s="6">
        <v>16</v>
      </c>
      <c r="J137">
        <v>16</v>
      </c>
      <c r="K137">
        <v>16</v>
      </c>
      <c r="L137">
        <v>16</v>
      </c>
      <c r="M137">
        <v>16</v>
      </c>
      <c r="N137">
        <v>16</v>
      </c>
    </row>
    <row r="138" spans="8:14" x14ac:dyDescent="0.25">
      <c r="H138" s="7" t="s">
        <v>92</v>
      </c>
      <c r="I138" s="6">
        <v>14</v>
      </c>
      <c r="J138">
        <v>14</v>
      </c>
      <c r="K138">
        <v>14</v>
      </c>
      <c r="L138">
        <v>14</v>
      </c>
      <c r="M138">
        <v>14</v>
      </c>
      <c r="N138">
        <v>14</v>
      </c>
    </row>
    <row r="139" spans="8:14" x14ac:dyDescent="0.25">
      <c r="H139" s="7" t="s">
        <v>93</v>
      </c>
      <c r="I139" s="6">
        <v>12</v>
      </c>
      <c r="J139">
        <v>12</v>
      </c>
      <c r="K139">
        <v>12</v>
      </c>
      <c r="L139">
        <v>12</v>
      </c>
      <c r="M139">
        <v>12</v>
      </c>
      <c r="N139">
        <v>12</v>
      </c>
    </row>
    <row r="140" spans="8:14" x14ac:dyDescent="0.25">
      <c r="H140" s="7" t="s">
        <v>94</v>
      </c>
      <c r="I140" s="6">
        <v>9</v>
      </c>
      <c r="J140">
        <v>9</v>
      </c>
      <c r="K140">
        <v>9</v>
      </c>
      <c r="L140">
        <v>9</v>
      </c>
      <c r="M140">
        <v>9</v>
      </c>
      <c r="N140">
        <v>9</v>
      </c>
    </row>
    <row r="141" spans="8:14" x14ac:dyDescent="0.25">
      <c r="H141" s="7"/>
      <c r="I141" s="6"/>
    </row>
    <row r="142" spans="8:14" x14ac:dyDescent="0.25">
      <c r="H142" s="7"/>
      <c r="I142" s="6"/>
    </row>
    <row r="143" spans="8:14" x14ac:dyDescent="0.25">
      <c r="H143" s="7"/>
      <c r="I143" s="6"/>
    </row>
  </sheetData>
  <phoneticPr fontId="2"/>
  <conditionalFormatting sqref="F5:F67">
    <cfRule type="cellIs" dxfId="0" priority="1" operator="lessThan">
      <formula>0.05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89F7-CDF2-4A68-B5D3-779459EF9D09}">
  <dimension ref="D2:U67"/>
  <sheetViews>
    <sheetView showGridLines="0" tabSelected="1" topLeftCell="C1" workbookViewId="0">
      <selection activeCell="M16" sqref="M16"/>
    </sheetView>
  </sheetViews>
  <sheetFormatPr defaultRowHeight="15" x14ac:dyDescent="0.25"/>
  <cols>
    <col min="11" max="11" width="7" style="19" bestFit="1" customWidth="1"/>
    <col min="12" max="12" width="7.7109375" style="19" bestFit="1" customWidth="1"/>
    <col min="13" max="13" width="3.7109375" style="20" bestFit="1" customWidth="1"/>
    <col min="14" max="14" width="4.7109375" style="19" customWidth="1"/>
    <col min="15" max="15" width="7" style="19" bestFit="1" customWidth="1"/>
    <col min="16" max="16" width="7.7109375" style="19" bestFit="1" customWidth="1"/>
    <col min="17" max="17" width="3.7109375" style="20" bestFit="1" customWidth="1"/>
    <col min="18" max="18" width="4.5703125" style="19" customWidth="1"/>
    <col min="19" max="19" width="7" style="19" bestFit="1" customWidth="1"/>
    <col min="20" max="20" width="7.7109375" style="19" bestFit="1" customWidth="1"/>
    <col min="21" max="21" width="3.7109375" style="20" bestFit="1" customWidth="1"/>
  </cols>
  <sheetData>
    <row r="2" spans="4:21" x14ac:dyDescent="0.25">
      <c r="J2" s="9" t="s">
        <v>159</v>
      </c>
      <c r="K2" s="32"/>
      <c r="L2" s="32"/>
      <c r="M2" s="33"/>
      <c r="N2" s="32"/>
      <c r="O2" s="32"/>
      <c r="P2" s="32"/>
      <c r="Q2" s="33"/>
      <c r="R2" s="32"/>
      <c r="S2" s="32"/>
      <c r="T2" s="32"/>
      <c r="U2" s="33"/>
    </row>
    <row r="3" spans="4:21" x14ac:dyDescent="0.25">
      <c r="K3" s="25" t="s">
        <v>152</v>
      </c>
      <c r="L3" s="26"/>
      <c r="M3" s="26"/>
      <c r="O3" s="25" t="s">
        <v>153</v>
      </c>
      <c r="P3" s="26"/>
      <c r="Q3" s="26"/>
      <c r="S3" s="25" t="s">
        <v>154</v>
      </c>
      <c r="T3" s="26"/>
      <c r="U3" s="26"/>
    </row>
    <row r="4" spans="4:21" x14ac:dyDescent="0.25">
      <c r="J4" s="8"/>
      <c r="K4" s="30" t="s">
        <v>135</v>
      </c>
      <c r="L4" s="30" t="s">
        <v>136</v>
      </c>
      <c r="M4" s="31"/>
      <c r="N4" s="21"/>
      <c r="O4" s="30" t="s">
        <v>135</v>
      </c>
      <c r="P4" s="30" t="s">
        <v>136</v>
      </c>
      <c r="Q4" s="31"/>
      <c r="R4" s="21"/>
      <c r="S4" s="30" t="s">
        <v>135</v>
      </c>
      <c r="T4" s="30" t="s">
        <v>136</v>
      </c>
      <c r="U4" s="31"/>
    </row>
    <row r="5" spans="4:21" x14ac:dyDescent="0.25">
      <c r="D5" t="str" cm="1">
        <f t="array" ref="D5:D25">Sheet1!I5:I25</f>
        <v>兄弟数</v>
      </c>
      <c r="E5" cm="1">
        <f t="array" ref="E5:G67">_xlfn.CHOOSECOLS(Sheet1!C5:F67,1,2,4)</f>
        <v>-0.17657366891357126</v>
      </c>
      <c r="F5">
        <v>2.6606146943502194E-2</v>
      </c>
      <c r="G5">
        <v>3.2105731091404547E-11</v>
      </c>
      <c r="H5" t="str" cm="1">
        <f t="array" ref="H5:H67">_xlfn.IFS(G5:G67=0,"",G5:G67&lt;0.01,"**",G5:G67&lt;0.05,"*",G5:G67&lt;0.1,"†",G5:G67&gt;=0.1,"")</f>
        <v>**</v>
      </c>
      <c r="J5" s="7" t="s">
        <v>137</v>
      </c>
      <c r="K5" s="22" cm="1">
        <f t="array" ref="K5:L25">E5:F25</f>
        <v>-0.17657366891357126</v>
      </c>
      <c r="L5" s="23">
        <v>2.6606146943502194E-2</v>
      </c>
      <c r="M5" s="24" t="str" cm="1">
        <f t="array" ref="M5:M25">H5:H25</f>
        <v>**</v>
      </c>
      <c r="N5" s="22"/>
      <c r="O5" s="22" cm="1">
        <f t="array" ref="O5:P25">E26:F46</f>
        <v>-0.1661296935343306</v>
      </c>
      <c r="P5" s="23">
        <v>4.588534140244372E-2</v>
      </c>
      <c r="Q5" s="24" t="str" cm="1">
        <f t="array" ref="Q5:Q25">H26:H46</f>
        <v>**</v>
      </c>
      <c r="R5" s="22"/>
      <c r="S5" s="22" cm="1">
        <f t="array" ref="S5:T25">E47:F67</f>
        <v>-0.21835343062953627</v>
      </c>
      <c r="T5" s="23">
        <v>2.985560225819198E-2</v>
      </c>
      <c r="U5" s="24" t="str" cm="1">
        <f t="array" ref="U5:U25">H47:H67</f>
        <v>**</v>
      </c>
    </row>
    <row r="6" spans="4:21" x14ac:dyDescent="0.25">
      <c r="D6" t="str">
        <v>父中卒ref</v>
      </c>
      <c r="E6">
        <v>0</v>
      </c>
      <c r="F6">
        <v>0</v>
      </c>
      <c r="G6">
        <v>0</v>
      </c>
      <c r="H6" t="str">
        <v/>
      </c>
      <c r="J6" s="7" t="s">
        <v>138</v>
      </c>
      <c r="K6" s="22">
        <v>0</v>
      </c>
      <c r="L6" s="23">
        <v>0</v>
      </c>
      <c r="M6" s="24" t="str">
        <v/>
      </c>
      <c r="N6" s="22"/>
      <c r="O6" s="22">
        <v>0</v>
      </c>
      <c r="P6" s="23">
        <v>0</v>
      </c>
      <c r="Q6" s="24" t="str">
        <v/>
      </c>
      <c r="R6" s="22"/>
      <c r="S6" s="22">
        <v>0</v>
      </c>
      <c r="T6" s="23">
        <v>0</v>
      </c>
      <c r="U6" s="24" t="str">
        <v/>
      </c>
    </row>
    <row r="7" spans="4:21" x14ac:dyDescent="0.25">
      <c r="D7" t="str">
        <v>父高卒</v>
      </c>
      <c r="E7">
        <v>1.0209467005775883</v>
      </c>
      <c r="F7">
        <v>0.13916433778516227</v>
      </c>
      <c r="G7">
        <v>2.1963410655172195E-13</v>
      </c>
      <c r="H7" t="str">
        <v>**</v>
      </c>
      <c r="J7" s="7" t="s">
        <v>94</v>
      </c>
      <c r="K7" s="22">
        <v>1.0209467005775883</v>
      </c>
      <c r="L7" s="23">
        <v>0.13916433778516227</v>
      </c>
      <c r="M7" s="24" t="str">
        <v>**</v>
      </c>
      <c r="N7" s="22"/>
      <c r="O7" s="22">
        <v>0.56594148835998381</v>
      </c>
      <c r="P7" s="23">
        <v>0.11840064299254949</v>
      </c>
      <c r="Q7" s="24" t="str">
        <v>**</v>
      </c>
      <c r="R7" s="22"/>
      <c r="S7" s="22">
        <v>0.65960380979741517</v>
      </c>
      <c r="T7" s="23">
        <v>8.562879085558267E-2</v>
      </c>
      <c r="U7" s="24" t="str">
        <v>**</v>
      </c>
    </row>
    <row r="8" spans="4:21" x14ac:dyDescent="0.25">
      <c r="D8" t="str">
        <v>父大卒</v>
      </c>
      <c r="E8">
        <v>1.4487814292419539</v>
      </c>
      <c r="F8">
        <v>0.26082106666854293</v>
      </c>
      <c r="G8">
        <v>2.7809718612942933E-8</v>
      </c>
      <c r="H8" t="str">
        <v>**</v>
      </c>
      <c r="J8" s="7" t="s">
        <v>139</v>
      </c>
      <c r="K8" s="22">
        <v>1.4487814292419539</v>
      </c>
      <c r="L8" s="23">
        <v>0.26082106666854293</v>
      </c>
      <c r="M8" s="24" t="str">
        <v>**</v>
      </c>
      <c r="N8" s="22"/>
      <c r="O8" s="22">
        <v>0.74404339675048969</v>
      </c>
      <c r="P8" s="23">
        <v>0.17269405372675053</v>
      </c>
      <c r="Q8" s="24" t="str">
        <v>**</v>
      </c>
      <c r="R8" s="22"/>
      <c r="S8" s="22">
        <v>1.6218876953291255</v>
      </c>
      <c r="T8" s="23">
        <v>0.11722198224559897</v>
      </c>
      <c r="U8" s="24" t="str">
        <v>**</v>
      </c>
    </row>
    <row r="9" spans="4:21" x14ac:dyDescent="0.25">
      <c r="D9" t="str">
        <v>世代40s ref</v>
      </c>
      <c r="E9">
        <v>0</v>
      </c>
      <c r="F9">
        <v>0</v>
      </c>
      <c r="G9">
        <v>0</v>
      </c>
      <c r="H9" t="str">
        <v/>
      </c>
      <c r="J9" s="7" t="s">
        <v>140</v>
      </c>
      <c r="K9" s="22">
        <v>0</v>
      </c>
      <c r="L9" s="23">
        <v>0</v>
      </c>
      <c r="M9" s="24" t="str">
        <v/>
      </c>
      <c r="N9" s="22"/>
      <c r="O9" s="22">
        <v>0</v>
      </c>
      <c r="P9" s="23">
        <v>0</v>
      </c>
      <c r="Q9" s="24" t="str">
        <v/>
      </c>
      <c r="R9" s="22"/>
      <c r="S9" s="22">
        <v>0</v>
      </c>
      <c r="T9" s="23">
        <v>0</v>
      </c>
      <c r="U9" s="24" t="str">
        <v/>
      </c>
    </row>
    <row r="10" spans="4:21" x14ac:dyDescent="0.25">
      <c r="D10" t="str">
        <v xml:space="preserve"> 50s</v>
      </c>
      <c r="E10">
        <v>1.0935170396659115</v>
      </c>
      <c r="F10">
        <v>0.13719090346252308</v>
      </c>
      <c r="G10">
        <v>1.5768965691308408E-15</v>
      </c>
      <c r="H10" t="str">
        <v>**</v>
      </c>
      <c r="J10" s="7" t="s">
        <v>82</v>
      </c>
      <c r="K10" s="22">
        <v>1.0935170396659115</v>
      </c>
      <c r="L10" s="23">
        <v>0.13719090346252308</v>
      </c>
      <c r="M10" s="24" t="str">
        <v>**</v>
      </c>
      <c r="N10" s="22"/>
      <c r="O10" s="22">
        <v>0.37266022921004244</v>
      </c>
      <c r="P10" s="23">
        <v>0.18364853739300036</v>
      </c>
      <c r="Q10" s="24" t="str">
        <v>*</v>
      </c>
      <c r="R10" s="22"/>
      <c r="S10" s="22">
        <v>0.42517030789109961</v>
      </c>
      <c r="T10" s="23">
        <v>0.11613568837855989</v>
      </c>
      <c r="U10" s="24" t="str">
        <v>**</v>
      </c>
    </row>
    <row r="11" spans="4:21" x14ac:dyDescent="0.25">
      <c r="D11" t="str">
        <v xml:space="preserve"> 60s</v>
      </c>
      <c r="E11">
        <v>1.7279237565607488</v>
      </c>
      <c r="F11">
        <v>0.22292262350375477</v>
      </c>
      <c r="G11">
        <v>9.1009154764544485E-15</v>
      </c>
      <c r="H11" t="str">
        <v>**</v>
      </c>
      <c r="J11" s="7" t="s">
        <v>95</v>
      </c>
      <c r="K11" s="22">
        <v>1.7279237565607488</v>
      </c>
      <c r="L11" s="23">
        <v>0.22292262350375477</v>
      </c>
      <c r="M11" s="24" t="str">
        <v>**</v>
      </c>
      <c r="N11" s="22"/>
      <c r="O11" s="22">
        <v>0.54588425052037137</v>
      </c>
      <c r="P11" s="23">
        <v>0.19755831656368703</v>
      </c>
      <c r="Q11" s="24" t="str">
        <v>**</v>
      </c>
      <c r="R11" s="22"/>
      <c r="S11" s="22">
        <v>0.14424888229788826</v>
      </c>
      <c r="T11" s="23">
        <v>0.14094053796164699</v>
      </c>
      <c r="U11" s="24" t="str">
        <v/>
      </c>
    </row>
    <row r="12" spans="4:21" x14ac:dyDescent="0.25">
      <c r="D12" t="str">
        <v xml:space="preserve"> 70s</v>
      </c>
      <c r="E12">
        <v>1.4147540488259978</v>
      </c>
      <c r="F12">
        <v>0.24014322870937327</v>
      </c>
      <c r="G12">
        <v>3.8318615176056688E-9</v>
      </c>
      <c r="H12" t="str">
        <v>**</v>
      </c>
      <c r="J12" s="7" t="s">
        <v>96</v>
      </c>
      <c r="K12" s="22">
        <v>1.4147540488259978</v>
      </c>
      <c r="L12" s="23">
        <v>0.24014322870937327</v>
      </c>
      <c r="M12" s="24" t="str">
        <v>**</v>
      </c>
      <c r="N12" s="22"/>
      <c r="O12" s="22">
        <v>1.0132468612114376</v>
      </c>
      <c r="P12" s="23">
        <v>0.21654652711710595</v>
      </c>
      <c r="Q12" s="24" t="str">
        <v>**</v>
      </c>
      <c r="R12" s="22"/>
      <c r="S12" s="22">
        <v>0.12454658169195872</v>
      </c>
      <c r="T12" s="23">
        <v>0.16897259520584618</v>
      </c>
      <c r="U12" s="24" t="str">
        <v/>
      </c>
    </row>
    <row r="13" spans="4:21" x14ac:dyDescent="0.25">
      <c r="D13" t="str">
        <v xml:space="preserve"> 80-90s</v>
      </c>
      <c r="E13">
        <v>1.3928516359466259</v>
      </c>
      <c r="F13">
        <v>0.31337064250070423</v>
      </c>
      <c r="G13">
        <v>8.7997431758195105E-6</v>
      </c>
      <c r="H13" t="str">
        <v>**</v>
      </c>
      <c r="J13" s="7" t="s">
        <v>141</v>
      </c>
      <c r="K13" s="22">
        <v>1.3928516359466259</v>
      </c>
      <c r="L13" s="23">
        <v>0.31337064250070423</v>
      </c>
      <c r="M13" s="24" t="str">
        <v>**</v>
      </c>
      <c r="N13" s="22"/>
      <c r="O13" s="22">
        <v>0.97928249337494</v>
      </c>
      <c r="P13" s="23">
        <v>0.263516709835801</v>
      </c>
      <c r="Q13" s="24" t="str">
        <v>**</v>
      </c>
      <c r="R13" s="22"/>
      <c r="S13" s="22">
        <v>0.54162193336095199</v>
      </c>
      <c r="T13" s="23">
        <v>0.20363103986174877</v>
      </c>
      <c r="U13" s="24" t="str">
        <v>**</v>
      </c>
    </row>
    <row r="14" spans="4:21" x14ac:dyDescent="0.25">
      <c r="D14">
        <v>0</v>
      </c>
      <c r="E14">
        <v>0</v>
      </c>
      <c r="F14">
        <v>0</v>
      </c>
      <c r="G14">
        <v>0</v>
      </c>
      <c r="H14" t="str">
        <v/>
      </c>
      <c r="K14" s="22">
        <v>0</v>
      </c>
      <c r="L14" s="23">
        <v>0</v>
      </c>
      <c r="M14" s="24" t="str">
        <v/>
      </c>
      <c r="N14" s="22"/>
      <c r="O14" s="22">
        <v>0</v>
      </c>
      <c r="P14" s="23">
        <v>0</v>
      </c>
      <c r="Q14" s="24" t="str">
        <v/>
      </c>
      <c r="R14" s="22"/>
      <c r="S14" s="22">
        <v>0</v>
      </c>
      <c r="T14" s="23">
        <v>0</v>
      </c>
      <c r="U14" s="24" t="str">
        <v/>
      </c>
    </row>
    <row r="15" spans="4:21" x14ac:dyDescent="0.25">
      <c r="D15" t="str">
        <v>EGP I+II</v>
      </c>
      <c r="E15">
        <v>2.0403543359335865</v>
      </c>
      <c r="F15">
        <v>1.2015180696295016</v>
      </c>
      <c r="G15">
        <v>8.9480015954859451E-2</v>
      </c>
      <c r="H15" t="str">
        <v>†</v>
      </c>
      <c r="J15" s="7" t="s">
        <v>142</v>
      </c>
      <c r="K15" s="22">
        <v>2.0403543359335865</v>
      </c>
      <c r="L15" s="23">
        <v>1.2015180696295016</v>
      </c>
      <c r="M15" s="24" t="str">
        <v>†</v>
      </c>
      <c r="N15" s="22"/>
      <c r="O15" s="22">
        <v>-0.21131590058830704</v>
      </c>
      <c r="P15" s="23">
        <v>0.71347625846975105</v>
      </c>
      <c r="Q15" s="24" t="str">
        <v/>
      </c>
      <c r="R15" s="22"/>
      <c r="S15" s="22">
        <v>2.2740227748208146</v>
      </c>
      <c r="T15" s="23">
        <v>0.43859750056967606</v>
      </c>
      <c r="U15" s="24" t="str">
        <v>**</v>
      </c>
    </row>
    <row r="16" spans="4:21" x14ac:dyDescent="0.25">
      <c r="D16" t="str">
        <v xml:space="preserve"> IIIab</v>
      </c>
      <c r="E16">
        <v>0.77730874632849112</v>
      </c>
      <c r="F16">
        <v>0.85161830282053652</v>
      </c>
      <c r="G16">
        <v>0.36137766007836863</v>
      </c>
      <c r="H16" t="str">
        <v/>
      </c>
      <c r="J16" s="7" t="s">
        <v>88</v>
      </c>
      <c r="K16" s="22">
        <v>0.77730874632849112</v>
      </c>
      <c r="L16" s="23">
        <v>0.85161830282053652</v>
      </c>
      <c r="M16" s="24" t="str">
        <v/>
      </c>
      <c r="N16" s="22"/>
      <c r="O16" s="22">
        <v>-1.4226978498155582</v>
      </c>
      <c r="P16" s="23">
        <v>0.85600177280304834</v>
      </c>
      <c r="Q16" s="24" t="str">
        <v>†</v>
      </c>
      <c r="R16" s="22"/>
      <c r="S16" s="22">
        <v>1.2566698183303291</v>
      </c>
      <c r="T16" s="23">
        <v>0.50893937130053202</v>
      </c>
      <c r="U16" s="24" t="str">
        <v>*</v>
      </c>
    </row>
    <row r="17" spans="4:21" x14ac:dyDescent="0.25">
      <c r="D17" t="str">
        <v xml:space="preserve"> IVab</v>
      </c>
      <c r="E17">
        <v>0.89381078469600794</v>
      </c>
      <c r="F17">
        <v>0.55103664679735609</v>
      </c>
      <c r="G17">
        <v>0.10479194655831943</v>
      </c>
      <c r="H17" t="str">
        <v/>
      </c>
      <c r="J17" s="7" t="s">
        <v>143</v>
      </c>
      <c r="K17" s="22">
        <v>0.89381078469600794</v>
      </c>
      <c r="L17" s="23">
        <v>0.55103664679735609</v>
      </c>
      <c r="M17" s="24" t="str">
        <v/>
      </c>
      <c r="N17" s="22"/>
      <c r="O17" s="22">
        <v>-0.34830372664473325</v>
      </c>
      <c r="P17" s="23">
        <v>0.61350462949321238</v>
      </c>
      <c r="Q17" s="24" t="str">
        <v/>
      </c>
      <c r="R17" s="22"/>
      <c r="S17" s="22">
        <v>1.9474304915244938</v>
      </c>
      <c r="T17" s="23">
        <v>0.41242541091930979</v>
      </c>
      <c r="U17" s="24" t="str">
        <v>**</v>
      </c>
    </row>
    <row r="18" spans="4:21" x14ac:dyDescent="0.25">
      <c r="D18" t="str">
        <v xml:space="preserve"> V+VI+VIIab+IVc</v>
      </c>
      <c r="E18">
        <v>0</v>
      </c>
      <c r="F18">
        <v>0</v>
      </c>
      <c r="G18">
        <v>0</v>
      </c>
      <c r="H18" t="str">
        <v/>
      </c>
      <c r="J18" s="7" t="s">
        <v>144</v>
      </c>
      <c r="K18" s="22">
        <v>0</v>
      </c>
      <c r="L18" s="23">
        <v>0</v>
      </c>
      <c r="M18" s="24" t="str">
        <v/>
      </c>
      <c r="N18" s="22"/>
      <c r="O18" s="22">
        <v>0</v>
      </c>
      <c r="P18" s="23">
        <v>0</v>
      </c>
      <c r="Q18" s="24" t="str">
        <v/>
      </c>
      <c r="R18" s="22"/>
      <c r="S18" s="22">
        <v>0</v>
      </c>
      <c r="T18" s="23">
        <v>0</v>
      </c>
      <c r="U18" s="24" t="str">
        <v/>
      </c>
    </row>
    <row r="19" spans="4:21" x14ac:dyDescent="0.25">
      <c r="D19" t="str">
        <v xml:space="preserve"> job+abs</v>
      </c>
      <c r="E19">
        <v>0.51918744558493279</v>
      </c>
      <c r="F19">
        <v>0.55331870851883225</v>
      </c>
      <c r="G19">
        <v>0.34808236619440164</v>
      </c>
      <c r="H19" t="str">
        <v/>
      </c>
      <c r="J19" s="7" t="s">
        <v>150</v>
      </c>
      <c r="K19" s="22">
        <v>0.51918744558493279</v>
      </c>
      <c r="L19" s="23">
        <v>0.55331870851883225</v>
      </c>
      <c r="M19" s="24" t="str">
        <v/>
      </c>
      <c r="N19" s="22"/>
      <c r="O19" s="22">
        <v>-1.0735331260778469</v>
      </c>
      <c r="P19" s="23">
        <v>0.86308418734508607</v>
      </c>
      <c r="Q19" s="24" t="str">
        <v/>
      </c>
      <c r="R19" s="22"/>
      <c r="S19" s="22">
        <v>0.22585526344294793</v>
      </c>
      <c r="T19" s="23">
        <v>0.53795616246043376</v>
      </c>
      <c r="U19" s="24" t="str">
        <v/>
      </c>
    </row>
    <row r="20" spans="4:21" x14ac:dyDescent="0.25">
      <c r="D20" t="str">
        <v>世代× I+II</v>
      </c>
      <c r="E20">
        <v>1.5010448965084352E-3</v>
      </c>
      <c r="F20">
        <v>0.25203530114424583</v>
      </c>
      <c r="G20">
        <v>0.99524807254233638</v>
      </c>
      <c r="H20" t="str">
        <v/>
      </c>
      <c r="J20" s="7" t="s">
        <v>145</v>
      </c>
      <c r="K20" s="22">
        <v>1.5010448965084352E-3</v>
      </c>
      <c r="L20" s="23">
        <v>0.25203530114424583</v>
      </c>
      <c r="M20" s="24" t="str">
        <v/>
      </c>
      <c r="N20" s="22"/>
      <c r="O20" s="22">
        <v>0.11023918547506552</v>
      </c>
      <c r="P20" s="23">
        <v>0.11371970398829626</v>
      </c>
      <c r="Q20" s="24" t="str">
        <v/>
      </c>
      <c r="R20" s="22"/>
      <c r="S20" s="22">
        <v>-0.10221946702987957</v>
      </c>
      <c r="T20" s="23">
        <v>7.557993133405104E-2</v>
      </c>
      <c r="U20" s="24" t="str">
        <v/>
      </c>
    </row>
    <row r="21" spans="4:21" x14ac:dyDescent="0.25">
      <c r="D21" t="str">
        <v xml:space="preserve"> IIIab</v>
      </c>
      <c r="E21">
        <v>2.1275155063404938E-3</v>
      </c>
      <c r="F21">
        <v>0.17189679875396871</v>
      </c>
      <c r="G21">
        <v>0.99012507242472514</v>
      </c>
      <c r="H21" t="str">
        <v/>
      </c>
      <c r="J21" s="7" t="s">
        <v>146</v>
      </c>
      <c r="K21" s="22">
        <v>2.1275155063404938E-3</v>
      </c>
      <c r="L21" s="23">
        <v>0.17189679875396871</v>
      </c>
      <c r="M21" s="24" t="str">
        <v/>
      </c>
      <c r="N21" s="22"/>
      <c r="O21" s="22">
        <v>0.283571092582249</v>
      </c>
      <c r="P21" s="23">
        <v>0.13077189597257116</v>
      </c>
      <c r="Q21" s="24" t="str">
        <v>*</v>
      </c>
      <c r="R21" s="22"/>
      <c r="S21" s="22">
        <v>-4.1039884847905092E-2</v>
      </c>
      <c r="T21" s="23">
        <v>8.5381942252306872E-2</v>
      </c>
      <c r="U21" s="24" t="str">
        <v/>
      </c>
    </row>
    <row r="22" spans="4:21" x14ac:dyDescent="0.25">
      <c r="D22" t="str">
        <v xml:space="preserve"> IVab</v>
      </c>
      <c r="E22">
        <v>-7.9721918044781681E-2</v>
      </c>
      <c r="F22">
        <v>0.1168991583719481</v>
      </c>
      <c r="G22">
        <v>0.49525684428253591</v>
      </c>
      <c r="H22" t="str">
        <v/>
      </c>
      <c r="J22" s="7" t="s">
        <v>147</v>
      </c>
      <c r="K22" s="22">
        <v>-7.9721918044781681E-2</v>
      </c>
      <c r="L22" s="23">
        <v>0.1168991583719481</v>
      </c>
      <c r="M22" s="24" t="str">
        <v/>
      </c>
      <c r="N22" s="22"/>
      <c r="O22" s="22">
        <v>8.3826232375030993E-2</v>
      </c>
      <c r="P22" s="23">
        <v>9.8736614874709694E-2</v>
      </c>
      <c r="Q22" s="24" t="str">
        <v/>
      </c>
      <c r="R22" s="22"/>
      <c r="S22" s="22">
        <v>-0.2417699408336092</v>
      </c>
      <c r="T22" s="23">
        <v>7.2342890888150088E-2</v>
      </c>
      <c r="U22" s="24" t="str">
        <v>**</v>
      </c>
    </row>
    <row r="23" spans="4:21" x14ac:dyDescent="0.25">
      <c r="D23" t="str">
        <v xml:space="preserve"> V+VI+VIIab+IVc</v>
      </c>
      <c r="E23">
        <v>0</v>
      </c>
      <c r="F23">
        <v>0</v>
      </c>
      <c r="G23">
        <v>0</v>
      </c>
      <c r="H23" t="str">
        <v/>
      </c>
      <c r="J23" s="7" t="s">
        <v>148</v>
      </c>
      <c r="K23" s="22">
        <v>0</v>
      </c>
      <c r="L23" s="23">
        <v>0</v>
      </c>
      <c r="M23" s="24" t="str">
        <v/>
      </c>
      <c r="N23" s="22"/>
      <c r="O23" s="22">
        <v>0</v>
      </c>
      <c r="P23" s="23">
        <v>0</v>
      </c>
      <c r="Q23" s="24" t="str">
        <v/>
      </c>
      <c r="R23" s="22"/>
      <c r="S23" s="22">
        <v>0</v>
      </c>
      <c r="T23" s="23">
        <v>0</v>
      </c>
      <c r="U23" s="24" t="str">
        <v/>
      </c>
    </row>
    <row r="24" spans="4:21" x14ac:dyDescent="0.25">
      <c r="D24" t="str">
        <v xml:space="preserve"> job+abs</v>
      </c>
      <c r="E24">
        <v>-0.18077756428050373</v>
      </c>
      <c r="F24">
        <v>0.11559942062311543</v>
      </c>
      <c r="G24">
        <v>0.11785806123468899</v>
      </c>
      <c r="H24" t="str">
        <v/>
      </c>
      <c r="J24" s="7" t="s">
        <v>149</v>
      </c>
      <c r="K24" s="22">
        <v>-0.18077756428050373</v>
      </c>
      <c r="L24" s="23">
        <v>0.11559942062311543</v>
      </c>
      <c r="M24" s="24" t="str">
        <v/>
      </c>
      <c r="N24" s="22"/>
      <c r="O24" s="22">
        <v>0.12887377283308851</v>
      </c>
      <c r="P24" s="23">
        <v>0.13919431772120258</v>
      </c>
      <c r="Q24" s="24" t="str">
        <v/>
      </c>
      <c r="R24" s="22"/>
      <c r="S24" s="22">
        <v>-1.3008357050012078E-2</v>
      </c>
      <c r="T24" s="23">
        <v>9.4562283353639295E-2</v>
      </c>
      <c r="U24" s="24" t="str">
        <v/>
      </c>
    </row>
    <row r="25" spans="4:21" x14ac:dyDescent="0.25">
      <c r="D25" t="str">
        <v>定数</v>
      </c>
      <c r="E25">
        <v>1.3523074970442475</v>
      </c>
      <c r="F25">
        <v>0.1474202357866107</v>
      </c>
      <c r="G25">
        <v>4.5940725013084302E-20</v>
      </c>
      <c r="H25" t="str">
        <v>**</v>
      </c>
      <c r="J25" s="9" t="s">
        <v>151</v>
      </c>
      <c r="K25" s="27">
        <v>1.3523074970442475</v>
      </c>
      <c r="L25" s="28">
        <v>0.1474202357866107</v>
      </c>
      <c r="M25" s="29" t="str">
        <v>**</v>
      </c>
      <c r="N25" s="27"/>
      <c r="O25" s="27">
        <v>-1.8415330315361049</v>
      </c>
      <c r="P25" s="28">
        <v>0.24283120716812132</v>
      </c>
      <c r="Q25" s="29" t="str">
        <v>**</v>
      </c>
      <c r="R25" s="27"/>
      <c r="S25" s="27">
        <v>-0.89906750337576091</v>
      </c>
      <c r="T25" s="28">
        <v>0.16178035199383625</v>
      </c>
      <c r="U25" s="29" t="str">
        <v>**</v>
      </c>
    </row>
    <row r="26" spans="4:21" x14ac:dyDescent="0.25">
      <c r="D26" t="str" cm="1">
        <f t="array" ref="D26:D46">Sheet1!I26:I46</f>
        <v>兄弟数</v>
      </c>
      <c r="E26">
        <v>-0.1661296935343306</v>
      </c>
      <c r="F26">
        <v>4.588534140244372E-2</v>
      </c>
      <c r="G26">
        <v>2.9398930007948869E-4</v>
      </c>
      <c r="H26" t="str">
        <v>**</v>
      </c>
      <c r="J26" s="7" t="s">
        <v>155</v>
      </c>
      <c r="L26" s="19">
        <f>Sheet1!C2</f>
        <v>5262</v>
      </c>
    </row>
    <row r="27" spans="4:21" x14ac:dyDescent="0.25">
      <c r="D27" t="str">
        <v>父中卒ref</v>
      </c>
      <c r="E27">
        <v>0</v>
      </c>
      <c r="F27">
        <v>0</v>
      </c>
      <c r="G27">
        <v>0</v>
      </c>
      <c r="H27" t="str">
        <v/>
      </c>
      <c r="J27" s="7" t="s">
        <v>156</v>
      </c>
      <c r="L27" s="19">
        <f>Sheet1!D2</f>
        <v>4628</v>
      </c>
    </row>
    <row r="28" spans="4:21" x14ac:dyDescent="0.25">
      <c r="D28" t="str">
        <v>父高卒</v>
      </c>
      <c r="E28">
        <v>0.56594148835998381</v>
      </c>
      <c r="F28">
        <v>0.11840064299254949</v>
      </c>
      <c r="G28">
        <v>1.7539526422613855E-6</v>
      </c>
      <c r="H28" t="str">
        <v>**</v>
      </c>
      <c r="J28" s="7" t="s">
        <v>157</v>
      </c>
      <c r="L28" s="19">
        <f>Sheet1!C3+Sheet1!D3</f>
        <v>-5363.7277343970936</v>
      </c>
    </row>
    <row r="29" spans="4:21" x14ac:dyDescent="0.25">
      <c r="D29" t="str">
        <v>父大卒</v>
      </c>
      <c r="E29">
        <v>0.74404339675048969</v>
      </c>
      <c r="F29">
        <v>0.17269405372675053</v>
      </c>
      <c r="G29">
        <v>1.6440391827737125E-5</v>
      </c>
      <c r="H29" t="str">
        <v>**</v>
      </c>
      <c r="J29" s="7" t="s">
        <v>158</v>
      </c>
      <c r="L29" s="19">
        <f>L28*-2+LN(L27+L26)</f>
        <v>10736.654748218803</v>
      </c>
    </row>
    <row r="30" spans="4:21" x14ac:dyDescent="0.25">
      <c r="D30" t="str">
        <v>世代40s ref</v>
      </c>
      <c r="E30">
        <v>0</v>
      </c>
      <c r="F30">
        <v>0</v>
      </c>
      <c r="G30">
        <v>0</v>
      </c>
      <c r="H30" t="str">
        <v/>
      </c>
    </row>
    <row r="31" spans="4:21" x14ac:dyDescent="0.25">
      <c r="D31" t="str">
        <v xml:space="preserve"> 50s</v>
      </c>
      <c r="E31">
        <v>0.37266022921004244</v>
      </c>
      <c r="F31">
        <v>0.18364853739300036</v>
      </c>
      <c r="G31">
        <v>4.2437581454258425E-2</v>
      </c>
      <c r="H31" t="str">
        <v>*</v>
      </c>
    </row>
    <row r="32" spans="4:21" x14ac:dyDescent="0.25">
      <c r="D32" t="str">
        <v xml:space="preserve"> 60s</v>
      </c>
      <c r="E32">
        <v>0.54588425052037137</v>
      </c>
      <c r="F32">
        <v>0.19755831656368703</v>
      </c>
      <c r="G32">
        <v>5.7245574248559932E-3</v>
      </c>
      <c r="H32" t="str">
        <v>**</v>
      </c>
    </row>
    <row r="33" spans="4:8" x14ac:dyDescent="0.25">
      <c r="D33" t="str">
        <v xml:space="preserve"> 70s</v>
      </c>
      <c r="E33">
        <v>1.0132468612114376</v>
      </c>
      <c r="F33">
        <v>0.21654652711710595</v>
      </c>
      <c r="G33">
        <v>2.8811090009150834E-6</v>
      </c>
      <c r="H33" t="str">
        <v>**</v>
      </c>
    </row>
    <row r="34" spans="4:8" x14ac:dyDescent="0.25">
      <c r="D34" t="str">
        <v xml:space="preserve"> 80-90s</v>
      </c>
      <c r="E34">
        <v>0.97928249337494</v>
      </c>
      <c r="F34">
        <v>0.263516709835801</v>
      </c>
      <c r="G34">
        <v>2.0223636627050582E-4</v>
      </c>
      <c r="H34" t="str">
        <v>**</v>
      </c>
    </row>
    <row r="35" spans="4:8" x14ac:dyDescent="0.25">
      <c r="D35">
        <v>0</v>
      </c>
      <c r="E35">
        <v>0</v>
      </c>
      <c r="F35">
        <v>0</v>
      </c>
      <c r="G35">
        <v>0</v>
      </c>
      <c r="H35" t="str">
        <v/>
      </c>
    </row>
    <row r="36" spans="4:8" x14ac:dyDescent="0.25">
      <c r="D36" t="str">
        <v>EGP I+II</v>
      </c>
      <c r="E36">
        <v>-0.21131590058830704</v>
      </c>
      <c r="F36">
        <v>0.71347625846975105</v>
      </c>
      <c r="G36">
        <v>0.7670942246400565</v>
      </c>
      <c r="H36" t="str">
        <v/>
      </c>
    </row>
    <row r="37" spans="4:8" x14ac:dyDescent="0.25">
      <c r="D37" t="str">
        <v xml:space="preserve"> IIIab</v>
      </c>
      <c r="E37">
        <v>-1.4226978498155582</v>
      </c>
      <c r="F37">
        <v>0.85600177280304834</v>
      </c>
      <c r="G37">
        <v>9.6507409820368331E-2</v>
      </c>
      <c r="H37" t="str">
        <v>†</v>
      </c>
    </row>
    <row r="38" spans="4:8" x14ac:dyDescent="0.25">
      <c r="D38" t="str">
        <v xml:space="preserve"> IVab</v>
      </c>
      <c r="E38">
        <v>-0.34830372664473325</v>
      </c>
      <c r="F38">
        <v>0.61350462949321238</v>
      </c>
      <c r="G38">
        <v>0.5702197087110179</v>
      </c>
      <c r="H38" t="str">
        <v/>
      </c>
    </row>
    <row r="39" spans="4:8" x14ac:dyDescent="0.25">
      <c r="D39" t="str">
        <v xml:space="preserve"> V+VI+VIIab+IVc</v>
      </c>
      <c r="E39">
        <v>0</v>
      </c>
      <c r="F39">
        <v>0</v>
      </c>
      <c r="G39">
        <v>0</v>
      </c>
      <c r="H39" t="str">
        <v/>
      </c>
    </row>
    <row r="40" spans="4:8" x14ac:dyDescent="0.25">
      <c r="D40" t="str">
        <v xml:space="preserve"> job+abs</v>
      </c>
      <c r="E40">
        <v>-1.0735331260778469</v>
      </c>
      <c r="F40">
        <v>0.86308418734508607</v>
      </c>
      <c r="G40">
        <v>0.21356080531796312</v>
      </c>
      <c r="H40" t="str">
        <v/>
      </c>
    </row>
    <row r="41" spans="4:8" x14ac:dyDescent="0.25">
      <c r="D41" t="str">
        <v>世代× I+II</v>
      </c>
      <c r="E41">
        <v>0.11023918547506552</v>
      </c>
      <c r="F41">
        <v>0.11371970398829626</v>
      </c>
      <c r="G41">
        <v>0.33234870294481583</v>
      </c>
      <c r="H41" t="str">
        <v/>
      </c>
    </row>
    <row r="42" spans="4:8" x14ac:dyDescent="0.25">
      <c r="D42" t="str">
        <v xml:space="preserve"> IIIab</v>
      </c>
      <c r="E42">
        <v>0.283571092582249</v>
      </c>
      <c r="F42">
        <v>0.13077189597257116</v>
      </c>
      <c r="G42">
        <v>3.0125177132975842E-2</v>
      </c>
      <c r="H42" t="str">
        <v>*</v>
      </c>
    </row>
    <row r="43" spans="4:8" x14ac:dyDescent="0.25">
      <c r="D43" t="str">
        <v xml:space="preserve"> IVab</v>
      </c>
      <c r="E43">
        <v>8.3826232375030993E-2</v>
      </c>
      <c r="F43">
        <v>9.8736614874709694E-2</v>
      </c>
      <c r="G43">
        <v>0.39588779386723683</v>
      </c>
      <c r="H43" t="str">
        <v/>
      </c>
    </row>
    <row r="44" spans="4:8" x14ac:dyDescent="0.25">
      <c r="D44" t="str">
        <v xml:space="preserve"> V+VI+VIIab+IVc</v>
      </c>
      <c r="E44">
        <v>0</v>
      </c>
      <c r="F44">
        <v>0</v>
      </c>
      <c r="G44">
        <v>0</v>
      </c>
      <c r="H44" t="str">
        <v/>
      </c>
    </row>
    <row r="45" spans="4:8" x14ac:dyDescent="0.25">
      <c r="D45" t="str">
        <v xml:space="preserve"> job+abs</v>
      </c>
      <c r="E45">
        <v>0.12887377283308851</v>
      </c>
      <c r="F45">
        <v>0.13919431772120258</v>
      </c>
      <c r="G45">
        <v>0.35452127340155687</v>
      </c>
      <c r="H45" t="str">
        <v/>
      </c>
    </row>
    <row r="46" spans="4:8" x14ac:dyDescent="0.25">
      <c r="D46" t="str">
        <v>定数</v>
      </c>
      <c r="E46">
        <v>-1.8415330315361049</v>
      </c>
      <c r="F46">
        <v>0.24283120716812132</v>
      </c>
      <c r="G46">
        <v>3.3611453693522785E-14</v>
      </c>
      <c r="H46" t="str">
        <v>**</v>
      </c>
    </row>
    <row r="47" spans="4:8" x14ac:dyDescent="0.25">
      <c r="D47" t="str" cm="1">
        <f t="array" ref="D47:D67">Sheet1!I47:I67</f>
        <v>兄弟数</v>
      </c>
      <c r="E47">
        <v>-0.21835343062953627</v>
      </c>
      <c r="F47">
        <v>2.985560225819198E-2</v>
      </c>
      <c r="G47">
        <v>2.5998145093702902E-13</v>
      </c>
      <c r="H47" t="str">
        <v>**</v>
      </c>
    </row>
    <row r="48" spans="4:8" x14ac:dyDescent="0.25">
      <c r="D48" t="str">
        <v>父中卒ref</v>
      </c>
      <c r="E48">
        <v>0</v>
      </c>
      <c r="F48">
        <v>0</v>
      </c>
      <c r="G48">
        <v>0</v>
      </c>
      <c r="H48" t="str">
        <v/>
      </c>
    </row>
    <row r="49" spans="4:8" x14ac:dyDescent="0.25">
      <c r="D49" t="str">
        <v>父高卒</v>
      </c>
      <c r="E49">
        <v>0.65960380979741517</v>
      </c>
      <c r="F49">
        <v>8.562879085558267E-2</v>
      </c>
      <c r="G49">
        <v>1.3284477692592985E-14</v>
      </c>
      <c r="H49" t="str">
        <v>**</v>
      </c>
    </row>
    <row r="50" spans="4:8" x14ac:dyDescent="0.25">
      <c r="D50" t="str">
        <v>父大卒</v>
      </c>
      <c r="E50">
        <v>1.6218876953291255</v>
      </c>
      <c r="F50">
        <v>0.11722198224559897</v>
      </c>
      <c r="G50">
        <v>1.5449207182713208E-43</v>
      </c>
      <c r="H50" t="str">
        <v>**</v>
      </c>
    </row>
    <row r="51" spans="4:8" x14ac:dyDescent="0.25">
      <c r="D51" t="str">
        <v>世代40s ref</v>
      </c>
      <c r="E51">
        <v>0</v>
      </c>
      <c r="F51">
        <v>0</v>
      </c>
      <c r="G51">
        <v>0</v>
      </c>
      <c r="H51" t="str">
        <v/>
      </c>
    </row>
    <row r="52" spans="4:8" x14ac:dyDescent="0.25">
      <c r="D52" t="str">
        <v xml:space="preserve"> 50s</v>
      </c>
      <c r="E52">
        <v>0.42517030789109961</v>
      </c>
      <c r="F52">
        <v>0.11613568837855989</v>
      </c>
      <c r="G52">
        <v>2.5125342521557862E-4</v>
      </c>
      <c r="H52" t="str">
        <v>**</v>
      </c>
    </row>
    <row r="53" spans="4:8" x14ac:dyDescent="0.25">
      <c r="D53" t="str">
        <v xml:space="preserve"> 60s</v>
      </c>
      <c r="E53">
        <v>0.14424888229788826</v>
      </c>
      <c r="F53">
        <v>0.14094053796164699</v>
      </c>
      <c r="G53">
        <v>0.3060841016012682</v>
      </c>
      <c r="H53" t="str">
        <v/>
      </c>
    </row>
    <row r="54" spans="4:8" x14ac:dyDescent="0.25">
      <c r="D54" t="str">
        <v xml:space="preserve"> 70s</v>
      </c>
      <c r="E54">
        <v>0.12454658169195872</v>
      </c>
      <c r="F54">
        <v>0.16897259520584618</v>
      </c>
      <c r="G54">
        <v>0.46107276079598219</v>
      </c>
      <c r="H54" t="str">
        <v/>
      </c>
    </row>
    <row r="55" spans="4:8" x14ac:dyDescent="0.25">
      <c r="D55" t="str">
        <v xml:space="preserve"> 80-90s</v>
      </c>
      <c r="E55">
        <v>0.54162193336095199</v>
      </c>
      <c r="F55">
        <v>0.20363103986174877</v>
      </c>
      <c r="G55">
        <v>7.8182398140828075E-3</v>
      </c>
      <c r="H55" t="str">
        <v>**</v>
      </c>
    </row>
    <row r="56" spans="4:8" x14ac:dyDescent="0.25">
      <c r="D56">
        <v>0</v>
      </c>
      <c r="E56">
        <v>0</v>
      </c>
      <c r="F56">
        <v>0</v>
      </c>
      <c r="G56">
        <v>0</v>
      </c>
      <c r="H56" t="str">
        <v/>
      </c>
    </row>
    <row r="57" spans="4:8" x14ac:dyDescent="0.25">
      <c r="D57" t="str">
        <v>EGP I+II</v>
      </c>
      <c r="E57">
        <v>2.2740227748208146</v>
      </c>
      <c r="F57">
        <v>0.43859750056967606</v>
      </c>
      <c r="G57">
        <v>2.162932180390084E-7</v>
      </c>
      <c r="H57" t="str">
        <v>**</v>
      </c>
    </row>
    <row r="58" spans="4:8" x14ac:dyDescent="0.25">
      <c r="D58" t="str">
        <v xml:space="preserve"> IIIab</v>
      </c>
      <c r="E58">
        <v>1.2566698183303291</v>
      </c>
      <c r="F58">
        <v>0.50893937130053202</v>
      </c>
      <c r="G58">
        <v>1.354179474784167E-2</v>
      </c>
      <c r="H58" t="str">
        <v>*</v>
      </c>
    </row>
    <row r="59" spans="4:8" x14ac:dyDescent="0.25">
      <c r="D59" t="str">
        <v xml:space="preserve"> IVab</v>
      </c>
      <c r="E59">
        <v>1.9474304915244938</v>
      </c>
      <c r="F59">
        <v>0.41242541091930979</v>
      </c>
      <c r="G59">
        <v>2.3365450676579291E-6</v>
      </c>
      <c r="H59" t="str">
        <v>**</v>
      </c>
    </row>
    <row r="60" spans="4:8" x14ac:dyDescent="0.25">
      <c r="D60" t="str">
        <v xml:space="preserve"> V+VI+VIIab+IVc</v>
      </c>
      <c r="E60">
        <v>0</v>
      </c>
      <c r="F60">
        <v>0</v>
      </c>
      <c r="G60">
        <v>0</v>
      </c>
      <c r="H60" t="str">
        <v/>
      </c>
    </row>
    <row r="61" spans="4:8" x14ac:dyDescent="0.25">
      <c r="D61" t="str">
        <v xml:space="preserve"> job+abs</v>
      </c>
      <c r="E61">
        <v>0.22585526344294793</v>
      </c>
      <c r="F61">
        <v>0.53795616246043376</v>
      </c>
      <c r="G61">
        <v>0.67460268364311915</v>
      </c>
      <c r="H61" t="str">
        <v/>
      </c>
    </row>
    <row r="62" spans="4:8" x14ac:dyDescent="0.25">
      <c r="D62" t="str">
        <v>世代× I+II</v>
      </c>
      <c r="E62">
        <v>-0.10221946702987957</v>
      </c>
      <c r="F62">
        <v>7.557993133405104E-2</v>
      </c>
      <c r="G62">
        <v>0.17622552854522508</v>
      </c>
      <c r="H62" t="str">
        <v/>
      </c>
    </row>
    <row r="63" spans="4:8" x14ac:dyDescent="0.25">
      <c r="D63" t="str">
        <v xml:space="preserve"> IIIab</v>
      </c>
      <c r="E63">
        <v>-4.1039884847905092E-2</v>
      </c>
      <c r="F63">
        <v>8.5381942252306872E-2</v>
      </c>
      <c r="G63">
        <v>0.63075649534048117</v>
      </c>
      <c r="H63" t="str">
        <v/>
      </c>
    </row>
    <row r="64" spans="4:8" x14ac:dyDescent="0.25">
      <c r="D64" t="str">
        <v xml:space="preserve"> IVab</v>
      </c>
      <c r="E64">
        <v>-0.2417699408336092</v>
      </c>
      <c r="F64">
        <v>7.2342890888150088E-2</v>
      </c>
      <c r="G64">
        <v>8.3177062852718756E-4</v>
      </c>
      <c r="H64" t="str">
        <v>**</v>
      </c>
    </row>
    <row r="65" spans="4:8" x14ac:dyDescent="0.25">
      <c r="D65" t="str">
        <v xml:space="preserve"> V+VI+VIIab+IVc</v>
      </c>
      <c r="E65">
        <v>0</v>
      </c>
      <c r="F65">
        <v>0</v>
      </c>
      <c r="G65">
        <v>0</v>
      </c>
      <c r="H65" t="str">
        <v/>
      </c>
    </row>
    <row r="66" spans="4:8" x14ac:dyDescent="0.25">
      <c r="D66" t="str">
        <v xml:space="preserve"> job+abs</v>
      </c>
      <c r="E66">
        <v>-1.3008357050012078E-2</v>
      </c>
      <c r="F66">
        <v>9.4562283353639295E-2</v>
      </c>
      <c r="G66">
        <v>0.89058508316629703</v>
      </c>
      <c r="H66" t="str">
        <v/>
      </c>
    </row>
    <row r="67" spans="4:8" x14ac:dyDescent="0.25">
      <c r="D67" t="str">
        <v>定数</v>
      </c>
      <c r="E67">
        <v>-0.89906750337576091</v>
      </c>
      <c r="F67">
        <v>0.16178035199383625</v>
      </c>
      <c r="G67">
        <v>2.739257772258332E-8</v>
      </c>
      <c r="H67" t="str">
        <v>**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C8FEF-0EAF-4197-8ED9-63179823755B}">
  <dimension ref="A1:Y76"/>
  <sheetViews>
    <sheetView workbookViewId="0">
      <selection activeCell="G31" sqref="G31:Y31"/>
    </sheetView>
  </sheetViews>
  <sheetFormatPr defaultRowHeight="15" x14ac:dyDescent="0.25"/>
  <cols>
    <col min="11" max="11" width="6.140625" customWidth="1"/>
    <col min="16" max="16" width="5.140625" customWidth="1"/>
    <col min="21" max="21" width="4.7109375" customWidth="1"/>
  </cols>
  <sheetData>
    <row r="1" spans="1:25" x14ac:dyDescent="0.25">
      <c r="G1" t="str">
        <f t="shared" ref="G1:Y1" si="0">_xlfn.TEXTJOIN("",TRUE,G3:G4)</f>
        <v>I+II1950s</v>
      </c>
      <c r="H1" t="str">
        <f t="shared" si="0"/>
        <v>IIIab1950s</v>
      </c>
      <c r="I1" t="str">
        <f t="shared" si="0"/>
        <v>IVab1950s</v>
      </c>
      <c r="J1" t="str">
        <f t="shared" si="0"/>
        <v>V+VI+VIIab1950s</v>
      </c>
      <c r="K1" t="str">
        <f t="shared" si="0"/>
        <v/>
      </c>
      <c r="L1" t="str">
        <f t="shared" si="0"/>
        <v>I+II1960s</v>
      </c>
      <c r="M1" t="str">
        <f t="shared" si="0"/>
        <v>IIIab1960s</v>
      </c>
      <c r="N1" t="str">
        <f t="shared" si="0"/>
        <v>IVab1960s</v>
      </c>
      <c r="O1" t="str">
        <f t="shared" si="0"/>
        <v>V+VI+VIIab1960s</v>
      </c>
      <c r="P1" t="str">
        <f t="shared" si="0"/>
        <v/>
      </c>
      <c r="Q1" t="str">
        <f t="shared" si="0"/>
        <v>I+II1970s</v>
      </c>
      <c r="R1" t="str">
        <f t="shared" si="0"/>
        <v>IIIab1970s</v>
      </c>
      <c r="S1" t="str">
        <f t="shared" si="0"/>
        <v>IVab1970s</v>
      </c>
      <c r="T1" t="str">
        <f t="shared" si="0"/>
        <v>V+VI+VIIab1970s</v>
      </c>
      <c r="U1" t="str">
        <f t="shared" si="0"/>
        <v/>
      </c>
      <c r="V1" t="str">
        <f t="shared" si="0"/>
        <v>I+II1980s</v>
      </c>
      <c r="W1" t="str">
        <f t="shared" si="0"/>
        <v>IIIab1980s</v>
      </c>
      <c r="X1" t="str">
        <f t="shared" si="0"/>
        <v>IVab1980s</v>
      </c>
      <c r="Y1" t="str">
        <f t="shared" si="0"/>
        <v>V+VI+VIIab1980s</v>
      </c>
    </row>
    <row r="3" spans="1:25" x14ac:dyDescent="0.25">
      <c r="G3" s="7" t="s">
        <v>87</v>
      </c>
      <c r="H3" s="7" t="s">
        <v>88</v>
      </c>
      <c r="I3" s="7" t="s">
        <v>89</v>
      </c>
      <c r="J3" s="7" t="s">
        <v>90</v>
      </c>
      <c r="L3" s="7" t="s">
        <v>87</v>
      </c>
      <c r="M3" s="7" t="s">
        <v>88</v>
      </c>
      <c r="N3" s="7" t="s">
        <v>89</v>
      </c>
      <c r="O3" s="7" t="s">
        <v>90</v>
      </c>
      <c r="Q3" s="7" t="s">
        <v>87</v>
      </c>
      <c r="R3" s="7" t="s">
        <v>88</v>
      </c>
      <c r="S3" s="7" t="s">
        <v>89</v>
      </c>
      <c r="T3" s="7" t="s">
        <v>90</v>
      </c>
      <c r="V3" s="7" t="s">
        <v>87</v>
      </c>
      <c r="W3" s="7" t="s">
        <v>88</v>
      </c>
      <c r="X3" s="7" t="s">
        <v>89</v>
      </c>
      <c r="Y3" s="7" t="s">
        <v>90</v>
      </c>
    </row>
    <row r="4" spans="1:25" x14ac:dyDescent="0.25">
      <c r="G4" s="7" t="s">
        <v>82</v>
      </c>
      <c r="H4" s="7" t="s">
        <v>82</v>
      </c>
      <c r="I4" s="7" t="s">
        <v>82</v>
      </c>
      <c r="J4" s="7" t="s">
        <v>82</v>
      </c>
      <c r="L4" s="7" t="s">
        <v>95</v>
      </c>
      <c r="M4" s="7" t="s">
        <v>95</v>
      </c>
      <c r="N4" s="7" t="s">
        <v>95</v>
      </c>
      <c r="O4" s="7" t="s">
        <v>95</v>
      </c>
      <c r="Q4" s="7" t="s">
        <v>96</v>
      </c>
      <c r="R4" s="7" t="s">
        <v>96</v>
      </c>
      <c r="S4" s="7" t="s">
        <v>96</v>
      </c>
      <c r="T4" s="7" t="s">
        <v>96</v>
      </c>
      <c r="V4" s="7" t="s">
        <v>97</v>
      </c>
      <c r="W4" s="7" t="s">
        <v>97</v>
      </c>
      <c r="X4" s="7" t="s">
        <v>97</v>
      </c>
      <c r="Y4" s="7" t="s">
        <v>97</v>
      </c>
    </row>
    <row r="5" spans="1:25" x14ac:dyDescent="0.25">
      <c r="G5" s="7"/>
      <c r="H5" s="7"/>
      <c r="I5" s="7"/>
      <c r="J5" s="7"/>
      <c r="L5" s="7"/>
      <c r="M5" s="7"/>
      <c r="N5" s="7"/>
      <c r="O5" s="7"/>
      <c r="Q5" s="7"/>
      <c r="R5" s="7"/>
      <c r="S5" s="7"/>
      <c r="T5" s="7"/>
      <c r="V5" s="7"/>
      <c r="W5" s="7"/>
      <c r="X5" s="7"/>
      <c r="Y5" s="7"/>
    </row>
    <row r="6" spans="1:25" x14ac:dyDescent="0.25">
      <c r="G6" s="7"/>
      <c r="H6" s="7"/>
      <c r="I6" s="7"/>
      <c r="J6" s="7"/>
      <c r="L6" s="7"/>
      <c r="M6" s="7"/>
      <c r="N6" s="7"/>
      <c r="O6" s="7"/>
      <c r="Q6" s="7"/>
      <c r="R6" s="7"/>
      <c r="S6" s="7"/>
      <c r="T6" s="7"/>
      <c r="V6" s="7"/>
      <c r="W6" s="7"/>
      <c r="X6" s="7"/>
      <c r="Y6" s="7"/>
    </row>
    <row r="7" spans="1:25" x14ac:dyDescent="0.25">
      <c r="E7" s="8"/>
      <c r="F7" s="8"/>
      <c r="G7" s="9"/>
      <c r="H7" s="9"/>
      <c r="I7" s="9"/>
      <c r="J7" s="9"/>
      <c r="K7" s="8"/>
      <c r="L7" s="9"/>
      <c r="M7" s="9"/>
      <c r="N7" s="9"/>
      <c r="O7" s="9"/>
      <c r="P7" s="8"/>
      <c r="Q7" s="9"/>
      <c r="R7" s="9"/>
      <c r="S7" s="9"/>
      <c r="T7" s="9"/>
      <c r="U7" s="8"/>
      <c r="V7" s="9"/>
      <c r="W7" s="9"/>
      <c r="X7" s="9"/>
      <c r="Y7" s="9"/>
    </row>
    <row r="8" spans="1:25" x14ac:dyDescent="0.25">
      <c r="E8" s="7" t="s">
        <v>98</v>
      </c>
      <c r="G8" s="7" t="s">
        <v>82</v>
      </c>
      <c r="H8" s="7"/>
      <c r="I8" s="7"/>
      <c r="J8" s="7"/>
      <c r="L8" s="7" t="s">
        <v>95</v>
      </c>
      <c r="M8" s="7"/>
      <c r="N8" s="7"/>
      <c r="O8" s="7"/>
      <c r="Q8" s="7" t="s">
        <v>96</v>
      </c>
      <c r="R8" s="7"/>
      <c r="S8" s="7"/>
      <c r="T8" s="7"/>
      <c r="V8" s="7" t="s">
        <v>97</v>
      </c>
      <c r="W8" s="7"/>
      <c r="X8" s="7"/>
      <c r="Y8" s="7"/>
    </row>
    <row r="9" spans="1:25" x14ac:dyDescent="0.25">
      <c r="E9" s="8"/>
      <c r="F9" s="8"/>
      <c r="G9" s="9" t="s">
        <v>87</v>
      </c>
      <c r="H9" s="9" t="s">
        <v>88</v>
      </c>
      <c r="I9" s="9" t="s">
        <v>89</v>
      </c>
      <c r="J9" s="9" t="s">
        <v>90</v>
      </c>
      <c r="L9" s="9" t="s">
        <v>87</v>
      </c>
      <c r="M9" s="9" t="s">
        <v>88</v>
      </c>
      <c r="N9" s="9" t="s">
        <v>89</v>
      </c>
      <c r="O9" s="9" t="s">
        <v>90</v>
      </c>
      <c r="Q9" s="9" t="s">
        <v>87</v>
      </c>
      <c r="R9" s="9" t="s">
        <v>88</v>
      </c>
      <c r="S9" s="9" t="s">
        <v>89</v>
      </c>
      <c r="T9" s="9" t="s">
        <v>90</v>
      </c>
      <c r="V9" s="9" t="s">
        <v>87</v>
      </c>
      <c r="W9" s="9" t="s">
        <v>88</v>
      </c>
      <c r="X9" s="9" t="s">
        <v>89</v>
      </c>
      <c r="Y9" s="9" t="s">
        <v>90</v>
      </c>
    </row>
    <row r="10" spans="1:25" x14ac:dyDescent="0.25">
      <c r="A10" t="str">
        <f>_xlfn.TEXTJOIN("",TRUE,B10:C10)</f>
        <v>T1lambda</v>
      </c>
      <c r="B10" s="7" t="s">
        <v>99</v>
      </c>
      <c r="C10" s="7" t="s">
        <v>100</v>
      </c>
      <c r="D10" s="7"/>
      <c r="E10" s="7" t="s">
        <v>99</v>
      </c>
      <c r="F10" s="7" t="s">
        <v>101</v>
      </c>
      <c r="G10" s="10">
        <f>INDEX(Sheet1!$E$69:$AJ$150,MATCH($A10,Sheet1!$E$69:$E$150,0),MATCH(G$1,Sheet1!$E$69:$AJ$69,0))</f>
        <v>2.0478595604161285</v>
      </c>
      <c r="H10" s="10">
        <f>INDEX(Sheet1!$E$69:$AJ$150,MATCH($A10,Sheet1!$E$69:$E$150,0),MATCH(H$1,Sheet1!$E$69:$AJ$69,0))</f>
        <v>0.78794632386019359</v>
      </c>
      <c r="I10" s="10">
        <f>INDEX(Sheet1!$E$69:$AJ$150,MATCH($A10,Sheet1!$E$69:$E$150,0),MATCH(I$1,Sheet1!$E$69:$AJ$69,0))</f>
        <v>0.49520119447209954</v>
      </c>
      <c r="J10" s="10">
        <f>INDEX(Sheet1!$E$69:$AJ$150,MATCH($A10,Sheet1!$E$69:$E$150,0),MATCH(J$1,Sheet1!$E$69:$AJ$69,0))</f>
        <v>0</v>
      </c>
      <c r="K10" s="10"/>
      <c r="L10" s="10">
        <f>INDEX(Sheet1!$E$69:$AJ$150,MATCH($A10,Sheet1!$E$69:$E$150,0),MATCH(L$1,Sheet1!$E$69:$AJ$69,0))</f>
        <v>2.049360605312637</v>
      </c>
      <c r="M10" s="10">
        <f>INDEX(Sheet1!$E$69:$AJ$150,MATCH($A10,Sheet1!$E$69:$E$150,0),MATCH(M$1,Sheet1!$E$69:$AJ$69,0))</f>
        <v>0.79007383936653408</v>
      </c>
      <c r="N10" s="10">
        <f>INDEX(Sheet1!$E$69:$AJ$150,MATCH($A10,Sheet1!$E$69:$E$150,0),MATCH(N$1,Sheet1!$E$69:$AJ$69,0))</f>
        <v>0.41547927642731786</v>
      </c>
      <c r="O10" s="10">
        <f>INDEX(Sheet1!$E$69:$AJ$150,MATCH($A10,Sheet1!$E$69:$E$150,0),MATCH(O$1,Sheet1!$E$69:$AJ$69,0))</f>
        <v>0</v>
      </c>
      <c r="P10" s="10"/>
      <c r="Q10" s="10">
        <f>INDEX(Sheet1!$E$69:$AJ$150,MATCH($A10,Sheet1!$E$69:$E$150,0),MATCH(Q$1,Sheet1!$E$69:$AJ$69,0))</f>
        <v>2.0508616502091455</v>
      </c>
      <c r="R10" s="10">
        <f>INDEX(Sheet1!$E$69:$AJ$150,MATCH($A10,Sheet1!$E$69:$E$150,0),MATCH(R$1,Sheet1!$E$69:$AJ$69,0))</f>
        <v>0.79220135487287457</v>
      </c>
      <c r="S10" s="10">
        <f>INDEX(Sheet1!$E$69:$AJ$150,MATCH($A10,Sheet1!$E$69:$E$150,0),MATCH(S$1,Sheet1!$E$69:$AJ$69,0))</f>
        <v>0.33575735838253618</v>
      </c>
      <c r="T10" s="10">
        <f>INDEX(Sheet1!$E$69:$AJ$150,MATCH($A10,Sheet1!$E$69:$E$150,0),MATCH(T$1,Sheet1!$E$69:$AJ$69,0))</f>
        <v>0</v>
      </c>
      <c r="U10" s="10"/>
      <c r="V10" s="10">
        <f>INDEX(Sheet1!$E$69:$AJ$150,MATCH($A10,Sheet1!$E$69:$E$150,0),MATCH(V$1,Sheet1!$E$69:$AJ$69,0))</f>
        <v>2.0523626951056539</v>
      </c>
      <c r="W10" s="10">
        <f>INDEX(Sheet1!$E$69:$AJ$150,MATCH($A10,Sheet1!$E$69:$E$150,0),MATCH(W$1,Sheet1!$E$69:$AJ$69,0))</f>
        <v>0.79432887037921507</v>
      </c>
      <c r="X10" s="10">
        <f>INDEX(Sheet1!$E$69:$AJ$150,MATCH($A10,Sheet1!$E$69:$E$150,0),MATCH(X$1,Sheet1!$E$69:$AJ$69,0))</f>
        <v>0.25603544033775449</v>
      </c>
      <c r="Y10" s="10">
        <f>INDEX(Sheet1!$E$69:$AJ$150,MATCH($A10,Sheet1!$E$69:$E$150,0),MATCH(Y$1,Sheet1!$E$69:$AJ$69,0))</f>
        <v>0</v>
      </c>
    </row>
    <row r="11" spans="1:25" x14ac:dyDescent="0.25">
      <c r="A11" t="str">
        <f t="shared" ref="A11:A32" si="1">_xlfn.TEXTJOIN("",TRUE,B11:C11)</f>
        <v>T1e^lambda-1</v>
      </c>
      <c r="B11" s="7" t="s">
        <v>99</v>
      </c>
      <c r="C11" s="11" t="s">
        <v>102</v>
      </c>
      <c r="D11" s="11"/>
      <c r="F11" s="11" t="s">
        <v>103</v>
      </c>
      <c r="G11" s="10">
        <f>INDEX(Sheet1!$E$69:$AJ$150,MATCH($A11,Sheet1!$E$69:$E$150,0),MATCH(G$1,Sheet1!$E$69:$AJ$69,0))</f>
        <v>6.7512921648542283</v>
      </c>
      <c r="H11" s="10">
        <f>INDEX(Sheet1!$E$69:$AJ$150,MATCH($A11,Sheet1!$E$69:$E$150,0),MATCH(H$1,Sheet1!$E$69:$AJ$69,0))</f>
        <v>1.1988760069162412</v>
      </c>
      <c r="I11" s="10">
        <f>INDEX(Sheet1!$E$69:$AJ$150,MATCH($A11,Sheet1!$E$69:$E$150,0),MATCH(I$1,Sheet1!$E$69:$AJ$69,0))</f>
        <v>0.64082833143949913</v>
      </c>
      <c r="J11" s="10">
        <f>INDEX(Sheet1!$E$69:$AJ$150,MATCH($A11,Sheet1!$E$69:$E$150,0),MATCH(J$1,Sheet1!$E$69:$AJ$69,0))</f>
        <v>0</v>
      </c>
      <c r="K11" s="10"/>
      <c r="L11" s="10">
        <f>INDEX(Sheet1!$E$69:$AJ$150,MATCH($A11,Sheet1!$E$69:$E$150,0),MATCH(L$1,Sheet1!$E$69:$AJ$69,0))</f>
        <v>6.7629359391273534</v>
      </c>
      <c r="M11" s="10">
        <f>INDEX(Sheet1!$E$69:$AJ$150,MATCH($A11,Sheet1!$E$69:$E$150,0),MATCH(M$1,Sheet1!$E$69:$AJ$69,0))</f>
        <v>1.2035591296591592</v>
      </c>
      <c r="N11" s="10">
        <f>INDEX(Sheet1!$E$69:$AJ$150,MATCH($A11,Sheet1!$E$69:$E$150,0),MATCH(N$1,Sheet1!$E$69:$AJ$69,0))</f>
        <v>0.51509671684801428</v>
      </c>
      <c r="O11" s="10">
        <f>INDEX(Sheet1!$E$69:$AJ$150,MATCH($A11,Sheet1!$E$69:$E$150,0),MATCH(O$1,Sheet1!$E$69:$AJ$69,0))</f>
        <v>0</v>
      </c>
      <c r="P11" s="10"/>
      <c r="Q11" s="10">
        <f>INDEX(Sheet1!$E$69:$AJ$150,MATCH($A11,Sheet1!$E$69:$E$150,0),MATCH(Q$1,Sheet1!$E$69:$AJ$69,0))</f>
        <v>6.7745972043524949</v>
      </c>
      <c r="R11" s="10">
        <f>INDEX(Sheet1!$E$69:$AJ$150,MATCH($A11,Sheet1!$E$69:$E$150,0),MATCH(R$1,Sheet1!$E$69:$AJ$69,0))</f>
        <v>1.2082522264245119</v>
      </c>
      <c r="S11" s="10">
        <f>INDEX(Sheet1!$E$69:$AJ$150,MATCH($A11,Sheet1!$E$69:$E$150,0),MATCH(S$1,Sheet1!$E$69:$AJ$69,0))</f>
        <v>0.39899952811624928</v>
      </c>
      <c r="T11" s="10">
        <f>INDEX(Sheet1!$E$69:$AJ$150,MATCH($A11,Sheet1!$E$69:$E$150,0),MATCH(T$1,Sheet1!$E$69:$AJ$69,0))</f>
        <v>0</v>
      </c>
      <c r="U11" s="10"/>
      <c r="V11" s="10">
        <f>INDEX(Sheet1!$E$69:$AJ$150,MATCH($A11,Sheet1!$E$69:$E$150,0),MATCH(V$1,Sheet1!$E$69:$AJ$69,0))</f>
        <v>6.7862759868040721</v>
      </c>
      <c r="W11" s="10">
        <f>INDEX(Sheet1!$E$69:$AJ$150,MATCH($A11,Sheet1!$E$69:$E$150,0),MATCH(W$1,Sheet1!$E$69:$AJ$69,0))</f>
        <v>1.2129553184547763</v>
      </c>
      <c r="X11" s="10">
        <f>INDEX(Sheet1!$E$69:$AJ$150,MATCH($A11,Sheet1!$E$69:$E$150,0),MATCH(X$1,Sheet1!$E$69:$AJ$69,0))</f>
        <v>0.29179850890391901</v>
      </c>
      <c r="Y11" s="10">
        <f>INDEX(Sheet1!$E$69:$AJ$150,MATCH($A11,Sheet1!$E$69:$E$150,0),MATCH(Y$1,Sheet1!$E$69:$AJ$69,0))</f>
        <v>0</v>
      </c>
    </row>
    <row r="12" spans="1:25" x14ac:dyDescent="0.25">
      <c r="A12" t="str">
        <f t="shared" si="1"/>
        <v>T1R</v>
      </c>
      <c r="B12" s="7" t="s">
        <v>104</v>
      </c>
      <c r="C12" s="11" t="s">
        <v>105</v>
      </c>
      <c r="D12" s="11"/>
      <c r="F12" s="11" t="s">
        <v>106</v>
      </c>
      <c r="G12" s="12">
        <f>INDEX(Sheet1!$E$69:$AJ$150,MATCH($A12,Sheet1!$E$69:$E$150,0),MATCH(G$1,Sheet1!$E$69:$AJ$69,0))</f>
        <v>1</v>
      </c>
      <c r="H12" s="12">
        <f>INDEX(Sheet1!$E$69:$AJ$150,MATCH($A12,Sheet1!$E$69:$E$150,0),MATCH(H$1,Sheet1!$E$69:$AJ$69,0))</f>
        <v>1</v>
      </c>
      <c r="I12" s="12">
        <f>INDEX(Sheet1!$E$69:$AJ$150,MATCH($A12,Sheet1!$E$69:$E$150,0),MATCH(I$1,Sheet1!$E$69:$AJ$69,0))</f>
        <v>1</v>
      </c>
      <c r="J12" s="12">
        <f>INDEX(Sheet1!$E$69:$AJ$150,MATCH($A12,Sheet1!$E$69:$E$150,0),MATCH(J$1,Sheet1!$E$69:$AJ$69,0))</f>
        <v>1</v>
      </c>
      <c r="K12" s="12"/>
      <c r="L12" s="12">
        <f>INDEX(Sheet1!$E$69:$AJ$150,MATCH($A12,Sheet1!$E$69:$E$150,0),MATCH(L$1,Sheet1!$E$69:$AJ$69,0))</f>
        <v>1</v>
      </c>
      <c r="M12" s="12">
        <f>INDEX(Sheet1!$E$69:$AJ$150,MATCH($A12,Sheet1!$E$69:$E$150,0),MATCH(M$1,Sheet1!$E$69:$AJ$69,0))</f>
        <v>1</v>
      </c>
      <c r="N12" s="12">
        <f>INDEX(Sheet1!$E$69:$AJ$150,MATCH($A12,Sheet1!$E$69:$E$150,0),MATCH(N$1,Sheet1!$E$69:$AJ$69,0))</f>
        <v>1</v>
      </c>
      <c r="O12" s="12">
        <f>INDEX(Sheet1!$E$69:$AJ$150,MATCH($A12,Sheet1!$E$69:$E$150,0),MATCH(O$1,Sheet1!$E$69:$AJ$69,0))</f>
        <v>1</v>
      </c>
      <c r="P12" s="12"/>
      <c r="Q12" s="12">
        <f>INDEX(Sheet1!$E$69:$AJ$150,MATCH($A12,Sheet1!$E$69:$E$150,0),MATCH(Q$1,Sheet1!$E$69:$AJ$69,0))</f>
        <v>1</v>
      </c>
      <c r="R12" s="12">
        <f>INDEX(Sheet1!$E$69:$AJ$150,MATCH($A12,Sheet1!$E$69:$E$150,0),MATCH(R$1,Sheet1!$E$69:$AJ$69,0))</f>
        <v>1</v>
      </c>
      <c r="S12" s="12">
        <f>INDEX(Sheet1!$E$69:$AJ$150,MATCH($A12,Sheet1!$E$69:$E$150,0),MATCH(S$1,Sheet1!$E$69:$AJ$69,0))</f>
        <v>1</v>
      </c>
      <c r="T12" s="12">
        <f>INDEX(Sheet1!$E$69:$AJ$150,MATCH($A12,Sheet1!$E$69:$E$150,0),MATCH(T$1,Sheet1!$E$69:$AJ$69,0))</f>
        <v>1</v>
      </c>
      <c r="U12" s="12"/>
      <c r="V12" s="12">
        <f>INDEX(Sheet1!$E$69:$AJ$150,MATCH($A12,Sheet1!$E$69:$E$150,0),MATCH(V$1,Sheet1!$E$69:$AJ$69,0))</f>
        <v>1</v>
      </c>
      <c r="W12" s="12">
        <f>INDEX(Sheet1!$E$69:$AJ$150,MATCH($A12,Sheet1!$E$69:$E$150,0),MATCH(W$1,Sheet1!$E$69:$AJ$69,0))</f>
        <v>1</v>
      </c>
      <c r="X12" s="12">
        <f>INDEX(Sheet1!$E$69:$AJ$150,MATCH($A12,Sheet1!$E$69:$E$150,0),MATCH(X$1,Sheet1!$E$69:$AJ$69,0))</f>
        <v>1</v>
      </c>
      <c r="Y12" s="12">
        <f>INDEX(Sheet1!$E$69:$AJ$150,MATCH($A12,Sheet1!$E$69:$E$150,0),MATCH(Y$1,Sheet1!$E$69:$AJ$69,0))</f>
        <v>1</v>
      </c>
    </row>
    <row r="13" spans="1:25" x14ac:dyDescent="0.25">
      <c r="A13" t="str">
        <f t="shared" si="1"/>
        <v>T1D</v>
      </c>
      <c r="B13" s="7" t="s">
        <v>104</v>
      </c>
      <c r="C13" s="11" t="s">
        <v>107</v>
      </c>
      <c r="D13" s="11"/>
      <c r="F13" s="11" t="s">
        <v>108</v>
      </c>
      <c r="G13" s="10">
        <f>INDEX(Sheet1!$E$69:$AJ$150,MATCH($A13,Sheet1!$E$69:$E$150,0),MATCH(G$1,Sheet1!$E$69:$AJ$69,0))</f>
        <v>3.6188169808280385E-3</v>
      </c>
      <c r="H13" s="10">
        <f>INDEX(Sheet1!$E$69:$AJ$150,MATCH($A13,Sheet1!$E$69:$E$150,0),MATCH(H$1,Sheet1!$E$69:$AJ$69,0))</f>
        <v>1.2637918144135807E-2</v>
      </c>
      <c r="I13" s="10">
        <f>INDEX(Sheet1!$E$69:$AJ$150,MATCH($A13,Sheet1!$E$69:$E$150,0),MATCH(I$1,Sheet1!$E$69:$AJ$69,0))</f>
        <v>1.6861515883545283E-2</v>
      </c>
      <c r="J13" s="10">
        <f>INDEX(Sheet1!$E$69:$AJ$150,MATCH($A13,Sheet1!$E$69:$E$150,0),MATCH(J$1,Sheet1!$E$69:$AJ$69,0))</f>
        <v>2.7362624940307556E-2</v>
      </c>
      <c r="K13" s="10"/>
      <c r="L13" s="10">
        <f>INDEX(Sheet1!$E$69:$AJ$150,MATCH($A13,Sheet1!$E$69:$E$150,0),MATCH(L$1,Sheet1!$E$69:$AJ$69,0))</f>
        <v>1.9450881824523373E-3</v>
      </c>
      <c r="M13" s="10">
        <f>INDEX(Sheet1!$E$69:$AJ$150,MATCH($A13,Sheet1!$E$69:$E$150,0),MATCH(M$1,Sheet1!$E$69:$AJ$69,0))</f>
        <v>6.8183928316911582E-3</v>
      </c>
      <c r="N13" s="10">
        <f>INDEX(Sheet1!$E$69:$AJ$150,MATCH($A13,Sheet1!$E$69:$E$150,0),MATCH(N$1,Sheet1!$E$69:$AJ$69,0))</f>
        <v>9.8855827259686849E-3</v>
      </c>
      <c r="O13" s="10">
        <f>INDEX(Sheet1!$E$69:$AJ$150,MATCH($A13,Sheet1!$E$69:$E$150,0),MATCH(O$1,Sheet1!$E$69:$AJ$69,0))</f>
        <v>1.4900574172432342E-2</v>
      </c>
      <c r="P13" s="10"/>
      <c r="Q13" s="10">
        <f>INDEX(Sheet1!$E$69:$AJ$150,MATCH($A13,Sheet1!$E$69:$E$150,0),MATCH(Q$1,Sheet1!$E$69:$AJ$69,0))</f>
        <v>2.6398061580675562E-3</v>
      </c>
      <c r="R13" s="10">
        <f>INDEX(Sheet1!$E$69:$AJ$150,MATCH($A13,Sheet1!$E$69:$E$150,0),MATCH(R$1,Sheet1!$E$69:$AJ$69,0))</f>
        <v>9.2312529205874853E-3</v>
      </c>
      <c r="S13" s="10">
        <f>INDEX(Sheet1!$E$69:$AJ$150,MATCH($A13,Sheet1!$E$69:$E$150,0),MATCH(S$1,Sheet1!$E$69:$AJ$69,0))</f>
        <v>1.4492069436459932E-2</v>
      </c>
      <c r="T13" s="10">
        <f>INDEX(Sheet1!$E$69:$AJ$150,MATCH($A13,Sheet1!$E$69:$E$150,0),MATCH(T$1,Sheet1!$E$69:$AJ$69,0))</f>
        <v>2.0155404362732932E-2</v>
      </c>
      <c r="U13" s="10"/>
      <c r="V13" s="10">
        <f>INDEX(Sheet1!$E$69:$AJ$150,MATCH($A13,Sheet1!$E$69:$E$150,0),MATCH(V$1,Sheet1!$E$69:$AJ$69,0))</f>
        <v>2.6928381483019943E-3</v>
      </c>
      <c r="W13" s="10">
        <f>INDEX(Sheet1!$E$69:$AJ$150,MATCH($A13,Sheet1!$E$69:$E$150,0),MATCH(W$1,Sheet1!$E$69:$AJ$69,0))</f>
        <v>9.409556908380386E-3</v>
      </c>
      <c r="X13" s="10">
        <f>INDEX(Sheet1!$E$69:$AJ$150,MATCH($A13,Sheet1!$E$69:$E$150,0),MATCH(X$1,Sheet1!$E$69:$AJ$69,0))</f>
        <v>1.600960409864291E-2</v>
      </c>
      <c r="Y13" s="10">
        <f>INDEX(Sheet1!$E$69:$AJ$150,MATCH($A13,Sheet1!$E$69:$E$150,0),MATCH(Y$1,Sheet1!$E$69:$AJ$69,0))</f>
        <v>2.0582962697647422E-2</v>
      </c>
    </row>
    <row r="14" spans="1:25" x14ac:dyDescent="0.25">
      <c r="A14" t="str">
        <f t="shared" si="1"/>
        <v>T1G</v>
      </c>
      <c r="B14" s="7" t="s">
        <v>104</v>
      </c>
      <c r="C14" s="11" t="s">
        <v>109</v>
      </c>
      <c r="D14" s="11"/>
      <c r="F14" s="11" t="s">
        <v>110</v>
      </c>
      <c r="G14" s="10">
        <f>INDEX(Sheet1!$E$69:$AJ$150,MATCH($A14,Sheet1!$E$69:$E$150,0),MATCH(G$1,Sheet1!$E$69:$AJ$69,0))</f>
        <v>6.1200886536827026</v>
      </c>
      <c r="H14" s="10">
        <f>INDEX(Sheet1!$E$69:$AJ$150,MATCH($A14,Sheet1!$E$69:$E$150,0),MATCH(H$1,Sheet1!$E$69:$AJ$69,0))</f>
        <v>5.97934571876511</v>
      </c>
      <c r="I14" s="10">
        <f>INDEX(Sheet1!$E$69:$AJ$150,MATCH($A14,Sheet1!$E$69:$E$150,0),MATCH(I$1,Sheet1!$E$69:$AJ$69,0))</f>
        <v>5.8852440232105092</v>
      </c>
      <c r="J14" s="10">
        <f>INDEX(Sheet1!$E$69:$AJ$150,MATCH($A14,Sheet1!$E$69:$E$150,0),MATCH(J$1,Sheet1!$E$69:$AJ$69,0))</f>
        <v>5.6126374026923109</v>
      </c>
      <c r="K14" s="10"/>
      <c r="L14" s="10">
        <f>INDEX(Sheet1!$E$69:$AJ$150,MATCH($A14,Sheet1!$E$69:$E$150,0),MATCH(L$1,Sheet1!$E$69:$AJ$69,0))</f>
        <v>5.9104174361546082</v>
      </c>
      <c r="M14" s="10">
        <f>INDEX(Sheet1!$E$69:$AJ$150,MATCH($A14,Sheet1!$E$69:$E$150,0),MATCH(M$1,Sheet1!$E$69:$AJ$69,0))</f>
        <v>5.7410038014686391</v>
      </c>
      <c r="N14" s="10">
        <f>INDEX(Sheet1!$E$69:$AJ$150,MATCH($A14,Sheet1!$E$69:$E$150,0),MATCH(N$1,Sheet1!$E$69:$AJ$69,0))</f>
        <v>5.5631685872803871</v>
      </c>
      <c r="O14" s="10">
        <f>INDEX(Sheet1!$E$69:$AJ$150,MATCH($A14,Sheet1!$E$69:$E$150,0),MATCH(O$1,Sheet1!$E$69:$AJ$69,0))</f>
        <v>5.3644967213073667</v>
      </c>
      <c r="P14" s="10"/>
      <c r="Q14" s="10">
        <f>INDEX(Sheet1!$E$69:$AJ$150,MATCH($A14,Sheet1!$E$69:$E$150,0),MATCH(Q$1,Sheet1!$E$69:$AJ$69,0))</f>
        <v>5.8218214312673879</v>
      </c>
      <c r="R14" s="10">
        <f>INDEX(Sheet1!$E$69:$AJ$150,MATCH($A14,Sheet1!$E$69:$E$150,0),MATCH(R$1,Sheet1!$E$69:$AJ$69,0))</f>
        <v>5.6455082053763626</v>
      </c>
      <c r="S14" s="10">
        <f>INDEX(Sheet1!$E$69:$AJ$150,MATCH($A14,Sheet1!$E$69:$E$150,0),MATCH(S$1,Sheet1!$E$69:$AJ$69,0))</f>
        <v>5.4103789034265262</v>
      </c>
      <c r="T14" s="10">
        <f>INDEX(Sheet1!$E$69:$AJ$150,MATCH($A14,Sheet1!$E$69:$E$150,0),MATCH(T$1,Sheet1!$E$69:$AJ$69,0))</f>
        <v>5.3206735557445342</v>
      </c>
      <c r="U14" s="10"/>
      <c r="V14" s="10">
        <f>INDEX(Sheet1!$E$69:$AJ$150,MATCH($A14,Sheet1!$E$69:$E$150,0),MATCH(V$1,Sheet1!$E$69:$AJ$69,0))</f>
        <v>6.0590209697425443</v>
      </c>
      <c r="W14" s="10">
        <f>INDEX(Sheet1!$E$69:$AJ$150,MATCH($A14,Sheet1!$E$69:$E$150,0),MATCH(W$1,Sheet1!$E$69:$AJ$69,0))</f>
        <v>5.9069870180375137</v>
      </c>
      <c r="X14" s="10">
        <f>INDEX(Sheet1!$E$69:$AJ$150,MATCH($A14,Sheet1!$E$69:$E$150,0),MATCH(X$1,Sheet1!$E$69:$AJ$69,0))</f>
        <v>5.6422423691313339</v>
      </c>
      <c r="Y14" s="10">
        <f>INDEX(Sheet1!$E$69:$AJ$150,MATCH($A14,Sheet1!$E$69:$E$150,0),MATCH(Y$1,Sheet1!$E$69:$AJ$69,0))</f>
        <v>5.6562952260448176</v>
      </c>
    </row>
    <row r="15" spans="1:25" x14ac:dyDescent="0.25">
      <c r="A15" t="str">
        <f t="shared" si="1"/>
        <v>T1Weight</v>
      </c>
      <c r="B15" s="7" t="s">
        <v>104</v>
      </c>
      <c r="C15" s="11" t="s">
        <v>124</v>
      </c>
      <c r="D15" s="11"/>
      <c r="F15" s="13" t="s">
        <v>124</v>
      </c>
      <c r="G15" s="10">
        <f>INDEX(Sheet1!$E$69:$AJ$150,MATCH($A15,Sheet1!$E$69:$E$150,0),MATCH(G$1,Sheet1!$E$69:$AJ$69,0))</f>
        <v>2.2147480744119975E-2</v>
      </c>
      <c r="H15" s="10">
        <f>INDEX(Sheet1!$E$69:$AJ$150,MATCH($A15,Sheet1!$E$69:$E$150,0),MATCH(H$1,Sheet1!$E$69:$AJ$69,0))</f>
        <v>7.556648174924234E-2</v>
      </c>
      <c r="I15" s="10">
        <f>INDEX(Sheet1!$E$69:$AJ$150,MATCH($A15,Sheet1!$E$69:$E$150,0),MATCH(I$1,Sheet1!$E$69:$AJ$69,0))</f>
        <v>9.9234135575903937E-2</v>
      </c>
      <c r="J15" s="10">
        <f>INDEX(Sheet1!$E$69:$AJ$150,MATCH($A15,Sheet1!$E$69:$E$150,0),MATCH(J$1,Sheet1!$E$69:$AJ$69,0))</f>
        <v>0.15357649217581165</v>
      </c>
      <c r="K15" s="10"/>
      <c r="L15" s="10">
        <f>INDEX(Sheet1!$E$69:$AJ$150,MATCH($A15,Sheet1!$E$69:$E$150,0),MATCH(L$1,Sheet1!$E$69:$AJ$69,0))</f>
        <v>1.1496283108424571E-2</v>
      </c>
      <c r="M15" s="10">
        <f>INDEX(Sheet1!$E$69:$AJ$150,MATCH($A15,Sheet1!$E$69:$E$150,0),MATCH(M$1,Sheet1!$E$69:$AJ$69,0))</f>
        <v>3.9144419166645461E-2</v>
      </c>
      <c r="N15" s="10">
        <f>INDEX(Sheet1!$E$69:$AJ$150,MATCH($A15,Sheet1!$E$69:$E$150,0),MATCH(N$1,Sheet1!$E$69:$AJ$69,0))</f>
        <v>5.4995163288070609E-2</v>
      </c>
      <c r="O15" s="10">
        <f>INDEX(Sheet1!$E$69:$AJ$150,MATCH($A15,Sheet1!$E$69:$E$150,0),MATCH(O$1,Sheet1!$E$69:$AJ$69,0))</f>
        <v>7.9934081293610529E-2</v>
      </c>
      <c r="P15" s="10"/>
      <c r="Q15" s="10">
        <f>INDEX(Sheet1!$E$69:$AJ$150,MATCH($A15,Sheet1!$E$69:$E$150,0),MATCH(Q$1,Sheet1!$E$69:$AJ$69,0))</f>
        <v>1.5368480065429324E-2</v>
      </c>
      <c r="R15" s="10">
        <f>INDEX(Sheet1!$E$69:$AJ$150,MATCH($A15,Sheet1!$E$69:$E$150,0),MATCH(R$1,Sheet1!$E$69:$AJ$69,0))</f>
        <v>5.2115114109081158E-2</v>
      </c>
      <c r="S15" s="10">
        <f>INDEX(Sheet1!$E$69:$AJ$150,MATCH($A15,Sheet1!$E$69:$E$150,0),MATCH(S$1,Sheet1!$E$69:$AJ$69,0))</f>
        <v>7.8407586746015168E-2</v>
      </c>
      <c r="T15" s="10">
        <f>INDEX(Sheet1!$E$69:$AJ$150,MATCH($A15,Sheet1!$E$69:$E$150,0),MATCH(T$1,Sheet1!$E$69:$AJ$69,0))</f>
        <v>0.10724032699813113</v>
      </c>
      <c r="U15" s="10"/>
      <c r="V15" s="10">
        <f>INDEX(Sheet1!$E$69:$AJ$150,MATCH($A15,Sheet1!$E$69:$E$150,0),MATCH(V$1,Sheet1!$E$69:$AJ$69,0))</f>
        <v>1.6315962808684466E-2</v>
      </c>
      <c r="W15" s="10">
        <f>INDEX(Sheet1!$E$69:$AJ$150,MATCH($A15,Sheet1!$E$69:$E$150,0),MATCH(W$1,Sheet1!$E$69:$AJ$69,0))</f>
        <v>5.5582130503288141E-2</v>
      </c>
      <c r="X15" s="10">
        <f>INDEX(Sheet1!$E$69:$AJ$150,MATCH($A15,Sheet1!$E$69:$E$150,0),MATCH(X$1,Sheet1!$E$69:$AJ$69,0))</f>
        <v>9.0330066558381689E-2</v>
      </c>
      <c r="Y15" s="10">
        <f>INDEX(Sheet1!$E$69:$AJ$150,MATCH($A15,Sheet1!$E$69:$E$150,0),MATCH(Y$1,Sheet1!$E$69:$AJ$69,0))</f>
        <v>0.11642331364456167</v>
      </c>
    </row>
    <row r="16" spans="1:25" x14ac:dyDescent="0.25">
      <c r="A16" t="str">
        <f t="shared" si="1"/>
        <v>T1p</v>
      </c>
      <c r="B16" s="7" t="s">
        <v>104</v>
      </c>
      <c r="C16" s="11" t="s">
        <v>112</v>
      </c>
      <c r="D16" s="11"/>
      <c r="E16" s="14"/>
      <c r="F16" s="15" t="s">
        <v>112</v>
      </c>
      <c r="G16" s="16">
        <f>INDEX(Sheet1!$E$69:$AJ$150,MATCH($A16,Sheet1!$E$69:$E$150,0),MATCH(G$1,Sheet1!$E$69:$AJ$69,0))</f>
        <v>0.99627634213390426</v>
      </c>
      <c r="H16" s="16">
        <f>INDEX(Sheet1!$E$69:$AJ$150,MATCH($A16,Sheet1!$E$69:$E$150,0),MATCH(H$1,Sheet1!$E$69:$AJ$69,0))</f>
        <v>0.98699594824557346</v>
      </c>
      <c r="I16" s="16">
        <f>INDEX(Sheet1!$E$69:$AJ$150,MATCH($A16,Sheet1!$E$69:$E$150,0),MATCH(I$1,Sheet1!$E$69:$AJ$69,0))</f>
        <v>0.98264998849439045</v>
      </c>
      <c r="J16" s="16">
        <f>INDEX(Sheet1!$E$69:$AJ$150,MATCH($A16,Sheet1!$E$69:$E$150,0),MATCH(J$1,Sheet1!$E$69:$AJ$69,0))</f>
        <v>0.9718446514051976</v>
      </c>
      <c r="K16" s="10"/>
      <c r="L16" s="16">
        <f>INDEX(Sheet1!$E$69:$AJ$150,MATCH($A16,Sheet1!$E$69:$E$150,0),MATCH(L$1,Sheet1!$E$69:$AJ$69,0))</f>
        <v>0.9980250315818604</v>
      </c>
      <c r="M16" s="16">
        <f>INDEX(Sheet1!$E$69:$AJ$150,MATCH($A16,Sheet1!$E$69:$E$150,0),MATCH(M$1,Sheet1!$E$69:$AJ$69,0))</f>
        <v>0.99307686375016602</v>
      </c>
      <c r="N16" s="16">
        <f>INDEX(Sheet1!$E$69:$AJ$150,MATCH($A16,Sheet1!$E$69:$E$150,0),MATCH(N$1,Sheet1!$E$69:$AJ$69,0))</f>
        <v>0.98996255601425776</v>
      </c>
      <c r="O16" s="16">
        <f>INDEX(Sheet1!$E$69:$AJ$150,MATCH($A16,Sheet1!$E$69:$E$150,0),MATCH(O$1,Sheet1!$E$69:$AJ$69,0))</f>
        <v>0.98487052480798176</v>
      </c>
      <c r="P16" s="10"/>
      <c r="Q16" s="16">
        <f>INDEX(Sheet1!$E$69:$AJ$150,MATCH($A16,Sheet1!$E$69:$E$150,0),MATCH(Q$1,Sheet1!$E$69:$AJ$69,0))</f>
        <v>0.997304728124211</v>
      </c>
      <c r="R16" s="16">
        <f>INDEX(Sheet1!$E$69:$AJ$150,MATCH($A16,Sheet1!$E$69:$E$150,0),MATCH(R$1,Sheet1!$E$69:$AJ$69,0))</f>
        <v>0.99057478659972209</v>
      </c>
      <c r="S16" s="16">
        <f>INDEX(Sheet1!$E$69:$AJ$150,MATCH($A16,Sheet1!$E$69:$E$150,0),MATCH(S$1,Sheet1!$E$69:$AJ$69,0))</f>
        <v>0.98520343357230999</v>
      </c>
      <c r="T16" s="16">
        <f>INDEX(Sheet1!$E$69:$AJ$150,MATCH($A16,Sheet1!$E$69:$E$150,0),MATCH(T$1,Sheet1!$E$69:$AJ$69,0))</f>
        <v>0.97942110470573474</v>
      </c>
      <c r="U16" s="10"/>
      <c r="V16" s="16">
        <f>INDEX(Sheet1!$E$69:$AJ$150,MATCH($A16,Sheet1!$E$69:$E$150,0),MATCH(V$1,Sheet1!$E$69:$AJ$69,0))</f>
        <v>0.99724932895471607</v>
      </c>
      <c r="W16" s="16">
        <f>INDEX(Sheet1!$E$69:$AJ$150,MATCH($A16,Sheet1!$E$69:$E$150,0),MATCH(W$1,Sheet1!$E$69:$AJ$69,0))</f>
        <v>0.99038835818886706</v>
      </c>
      <c r="X16" s="16">
        <f>INDEX(Sheet1!$E$69:$AJ$150,MATCH($A16,Sheet1!$E$69:$E$150,0),MATCH(X$1,Sheet1!$E$69:$AJ$69,0))</f>
        <v>0.98364656469666989</v>
      </c>
      <c r="Y16" s="16">
        <f>INDEX(Sheet1!$E$69:$AJ$150,MATCH($A16,Sheet1!$E$69:$E$150,0),MATCH(Y$1,Sheet1!$E$69:$AJ$69,0))</f>
        <v>0.97897498609254385</v>
      </c>
    </row>
    <row r="17" spans="1:25" x14ac:dyDescent="0.25">
      <c r="A17" t="str">
        <f t="shared" si="1"/>
        <v>T2lambda</v>
      </c>
      <c r="B17" s="7" t="s">
        <v>113</v>
      </c>
      <c r="C17" s="7" t="s">
        <v>100</v>
      </c>
      <c r="D17" s="7"/>
      <c r="E17" s="7" t="s">
        <v>113</v>
      </c>
      <c r="F17" s="7" t="s">
        <v>101</v>
      </c>
      <c r="G17" s="10">
        <f>INDEX(Sheet1!$E$69:$AJ$150,MATCH($A17,Sheet1!$E$69:$E$150,0),MATCH(G$1,Sheet1!$E$69:$AJ$69,0))</f>
        <v>0.33988002678702056</v>
      </c>
      <c r="H17" s="10">
        <f>INDEX(Sheet1!$E$69:$AJ$150,MATCH($A17,Sheet1!$E$69:$E$150,0),MATCH(H$1,Sheet1!$E$69:$AJ$69,0))</f>
        <v>-4.8423869043132672E-3</v>
      </c>
      <c r="I17" s="10">
        <f>INDEX(Sheet1!$E$69:$AJ$150,MATCH($A17,Sheet1!$E$69:$E$150,0),MATCH(I$1,Sheet1!$E$69:$AJ$69,0))</f>
        <v>7.0827435230421731E-2</v>
      </c>
      <c r="J17" s="10">
        <f>INDEX(Sheet1!$E$69:$AJ$150,MATCH($A17,Sheet1!$E$69:$E$150,0),MATCH(J$1,Sheet1!$E$69:$AJ$69,0))</f>
        <v>0</v>
      </c>
      <c r="K17" s="10"/>
      <c r="L17" s="10">
        <f>INDEX(Sheet1!$E$69:$AJ$150,MATCH($A17,Sheet1!$E$69:$E$150,0),MATCH(L$1,Sheet1!$E$69:$AJ$69,0))</f>
        <v>0.45011921226208607</v>
      </c>
      <c r="M17" s="10">
        <f>INDEX(Sheet1!$E$69:$AJ$150,MATCH($A17,Sheet1!$E$69:$E$150,0),MATCH(M$1,Sheet1!$E$69:$AJ$69,0))</f>
        <v>0.27872870567793573</v>
      </c>
      <c r="N17" s="10">
        <f>INDEX(Sheet1!$E$69:$AJ$150,MATCH($A17,Sheet1!$E$69:$E$150,0),MATCH(N$1,Sheet1!$E$69:$AJ$69,0))</f>
        <v>0.15465366760545268</v>
      </c>
      <c r="O17" s="10">
        <f>INDEX(Sheet1!$E$69:$AJ$150,MATCH($A17,Sheet1!$E$69:$E$150,0),MATCH(O$1,Sheet1!$E$69:$AJ$69,0))</f>
        <v>0</v>
      </c>
      <c r="P17" s="10"/>
      <c r="Q17" s="10">
        <f>INDEX(Sheet1!$E$69:$AJ$150,MATCH($A17,Sheet1!$E$69:$E$150,0),MATCH(Q$1,Sheet1!$E$69:$AJ$69,0))</f>
        <v>0.56035839773715157</v>
      </c>
      <c r="R17" s="10">
        <f>INDEX(Sheet1!$E$69:$AJ$150,MATCH($A17,Sheet1!$E$69:$E$150,0),MATCH(R$1,Sheet1!$E$69:$AJ$69,0))</f>
        <v>0.56229979826018472</v>
      </c>
      <c r="S17" s="10">
        <f>INDEX(Sheet1!$E$69:$AJ$150,MATCH($A17,Sheet1!$E$69:$E$150,0),MATCH(S$1,Sheet1!$E$69:$AJ$69,0))</f>
        <v>0.23847989998048374</v>
      </c>
      <c r="T17" s="10">
        <f>INDEX(Sheet1!$E$69:$AJ$150,MATCH($A17,Sheet1!$E$69:$E$150,0),MATCH(T$1,Sheet1!$E$69:$AJ$69,0))</f>
        <v>0</v>
      </c>
      <c r="U17" s="10"/>
      <c r="V17" s="10">
        <f>INDEX(Sheet1!$E$69:$AJ$150,MATCH($A17,Sheet1!$E$69:$E$150,0),MATCH(V$1,Sheet1!$E$69:$AJ$69,0))</f>
        <v>0.67059758321221707</v>
      </c>
      <c r="W17" s="10">
        <f>INDEX(Sheet1!$E$69:$AJ$150,MATCH($A17,Sheet1!$E$69:$E$150,0),MATCH(W$1,Sheet1!$E$69:$AJ$69,0))</f>
        <v>0.84587089084243372</v>
      </c>
      <c r="X17" s="10">
        <f>INDEX(Sheet1!$E$69:$AJ$150,MATCH($A17,Sheet1!$E$69:$E$150,0),MATCH(X$1,Sheet1!$E$69:$AJ$69,0))</f>
        <v>0.3223061323555147</v>
      </c>
      <c r="Y17" s="10">
        <f>INDEX(Sheet1!$E$69:$AJ$150,MATCH($A17,Sheet1!$E$69:$E$150,0),MATCH(Y$1,Sheet1!$E$69:$AJ$69,0))</f>
        <v>0</v>
      </c>
    </row>
    <row r="18" spans="1:25" x14ac:dyDescent="0.25">
      <c r="A18" t="str">
        <f t="shared" si="1"/>
        <v>T2e^lambda-1</v>
      </c>
      <c r="B18" s="7" t="s">
        <v>113</v>
      </c>
      <c r="C18" s="11" t="s">
        <v>102</v>
      </c>
      <c r="D18" s="11"/>
      <c r="F18" s="11" t="s">
        <v>103</v>
      </c>
      <c r="G18" s="10">
        <f>INDEX(Sheet1!$E$69:$AJ$150,MATCH($A18,Sheet1!$E$69:$E$150,0),MATCH(G$1,Sheet1!$E$69:$AJ$69,0))</f>
        <v>0.4047790445977888</v>
      </c>
      <c r="H18" s="10">
        <f>INDEX(Sheet1!$E$69:$AJ$150,MATCH($A18,Sheet1!$E$69:$E$150,0),MATCH(H$1,Sheet1!$E$69:$AJ$69,0))</f>
        <v>-4.8306814505816309E-3</v>
      </c>
      <c r="I18" s="10">
        <f>INDEX(Sheet1!$E$69:$AJ$150,MATCH($A18,Sheet1!$E$69:$E$150,0),MATCH(I$1,Sheet1!$E$69:$AJ$69,0))</f>
        <v>7.3395979555445301E-2</v>
      </c>
      <c r="J18" s="10">
        <f>INDEX(Sheet1!$E$69:$AJ$150,MATCH($A18,Sheet1!$E$69:$E$150,0),MATCH(J$1,Sheet1!$E$69:$AJ$69,0))</f>
        <v>0</v>
      </c>
      <c r="K18" s="10"/>
      <c r="L18" s="10">
        <f>INDEX(Sheet1!$E$69:$AJ$150,MATCH($A18,Sheet1!$E$69:$E$150,0),MATCH(L$1,Sheet1!$E$69:$AJ$69,0))</f>
        <v>0.56849915867798506</v>
      </c>
      <c r="M18" s="10">
        <f>INDEX(Sheet1!$E$69:$AJ$150,MATCH($A18,Sheet1!$E$69:$E$150,0),MATCH(M$1,Sheet1!$E$69:$AJ$69,0))</f>
        <v>0.32144879368079882</v>
      </c>
      <c r="N18" s="10">
        <f>INDEX(Sheet1!$E$69:$AJ$150,MATCH($A18,Sheet1!$E$69:$E$150,0),MATCH(N$1,Sheet1!$E$69:$AJ$69,0))</f>
        <v>0.16725363334738508</v>
      </c>
      <c r="O18" s="10">
        <f>INDEX(Sheet1!$E$69:$AJ$150,MATCH($A18,Sheet1!$E$69:$E$150,0),MATCH(O$1,Sheet1!$E$69:$AJ$69,0))</f>
        <v>0</v>
      </c>
      <c r="P18" s="10"/>
      <c r="Q18" s="10">
        <f>INDEX(Sheet1!$E$69:$AJ$150,MATCH($A18,Sheet1!$E$69:$E$150,0),MATCH(Q$1,Sheet1!$E$69:$AJ$69,0))</f>
        <v>0.75130004980814591</v>
      </c>
      <c r="R18" s="10">
        <f>INDEX(Sheet1!$E$69:$AJ$150,MATCH($A18,Sheet1!$E$69:$E$150,0),MATCH(R$1,Sheet1!$E$69:$AJ$69,0))</f>
        <v>0.75470332713409882</v>
      </c>
      <c r="S18" s="10">
        <f>INDEX(Sheet1!$E$69:$AJ$150,MATCH($A18,Sheet1!$E$69:$E$150,0),MATCH(S$1,Sheet1!$E$69:$AJ$69,0))</f>
        <v>0.26931819245955557</v>
      </c>
      <c r="T18" s="10">
        <f>INDEX(Sheet1!$E$69:$AJ$150,MATCH($A18,Sheet1!$E$69:$E$150,0),MATCH(T$1,Sheet1!$E$69:$AJ$69,0))</f>
        <v>0</v>
      </c>
      <c r="U18" s="10"/>
      <c r="V18" s="10">
        <f>INDEX(Sheet1!$E$69:$AJ$150,MATCH($A18,Sheet1!$E$69:$E$150,0),MATCH(V$1,Sheet1!$E$69:$AJ$69,0))</f>
        <v>0.95540548905559453</v>
      </c>
      <c r="W18" s="10">
        <f>INDEX(Sheet1!$E$69:$AJ$150,MATCH($A18,Sheet1!$E$69:$E$150,0),MATCH(W$1,Sheet1!$E$69:$AJ$69,0))</f>
        <v>1.3300061122150582</v>
      </c>
      <c r="X18" s="10">
        <f>INDEX(Sheet1!$E$69:$AJ$150,MATCH($A18,Sheet1!$E$69:$E$150,0),MATCH(X$1,Sheet1!$E$69:$AJ$69,0))</f>
        <v>0.3803072679999917</v>
      </c>
      <c r="Y18" s="10">
        <f>INDEX(Sheet1!$E$69:$AJ$150,MATCH($A18,Sheet1!$E$69:$E$150,0),MATCH(Y$1,Sheet1!$E$69:$AJ$69,0))</f>
        <v>0</v>
      </c>
    </row>
    <row r="19" spans="1:25" x14ac:dyDescent="0.25">
      <c r="A19" t="str">
        <f t="shared" si="1"/>
        <v>T2R</v>
      </c>
      <c r="B19" s="7" t="s">
        <v>114</v>
      </c>
      <c r="C19" s="11" t="s">
        <v>105</v>
      </c>
      <c r="D19" s="11"/>
      <c r="F19" s="11" t="s">
        <v>106</v>
      </c>
      <c r="G19" s="10">
        <f>INDEX(Sheet1!$E$69:$AJ$150,MATCH($A19,Sheet1!$E$69:$E$150,0),MATCH(G$1,Sheet1!$E$69:$AJ$69,0))</f>
        <v>0.98406049676955099</v>
      </c>
      <c r="H19" s="10">
        <f>INDEX(Sheet1!$E$69:$AJ$150,MATCH($A19,Sheet1!$E$69:$E$150,0),MATCH(H$1,Sheet1!$E$69:$AJ$69,0))</f>
        <v>0.97942029982538559</v>
      </c>
      <c r="I19" s="10">
        <f>INDEX(Sheet1!$E$69:$AJ$150,MATCH($A19,Sheet1!$E$69:$E$150,0),MATCH(I$1,Sheet1!$E$69:$AJ$69,0))</f>
        <v>0.97724731994979397</v>
      </c>
      <c r="J19" s="10">
        <f>INDEX(Sheet1!$E$69:$AJ$150,MATCH($A19,Sheet1!$E$69:$E$150,0),MATCH(J$1,Sheet1!$E$69:$AJ$69,0))</f>
        <v>0.9718446514051976</v>
      </c>
      <c r="K19" s="10"/>
      <c r="L19" s="10">
        <f>INDEX(Sheet1!$E$69:$AJ$150,MATCH($A19,Sheet1!$E$69:$E$150,0),MATCH(L$1,Sheet1!$E$69:$AJ$69,0))</f>
        <v>0.99144777819492114</v>
      </c>
      <c r="M19" s="10">
        <f>INDEX(Sheet1!$E$69:$AJ$150,MATCH($A19,Sheet1!$E$69:$E$150,0),MATCH(M$1,Sheet1!$E$69:$AJ$69,0))</f>
        <v>0.98897369427907389</v>
      </c>
      <c r="N19" s="10">
        <f>INDEX(Sheet1!$E$69:$AJ$150,MATCH($A19,Sheet1!$E$69:$E$150,0),MATCH(N$1,Sheet1!$E$69:$AJ$69,0))</f>
        <v>0.9874165404111197</v>
      </c>
      <c r="O19" s="10">
        <f>INDEX(Sheet1!$E$69:$AJ$150,MATCH($A19,Sheet1!$E$69:$E$150,0),MATCH(O$1,Sheet1!$E$69:$AJ$69,0))</f>
        <v>0.98487052480798176</v>
      </c>
      <c r="P19" s="10"/>
      <c r="Q19" s="10">
        <f>INDEX(Sheet1!$E$69:$AJ$150,MATCH($A19,Sheet1!$E$69:$E$150,0),MATCH(Q$1,Sheet1!$E$69:$AJ$69,0))</f>
        <v>0.98836291641497287</v>
      </c>
      <c r="R19" s="10">
        <f>INDEX(Sheet1!$E$69:$AJ$150,MATCH($A19,Sheet1!$E$69:$E$150,0),MATCH(R$1,Sheet1!$E$69:$AJ$69,0))</f>
        <v>0.98499794565272847</v>
      </c>
      <c r="S19" s="10">
        <f>INDEX(Sheet1!$E$69:$AJ$150,MATCH($A19,Sheet1!$E$69:$E$150,0),MATCH(S$1,Sheet1!$E$69:$AJ$69,0))</f>
        <v>0.98231226913902236</v>
      </c>
      <c r="T19" s="10">
        <f>INDEX(Sheet1!$E$69:$AJ$150,MATCH($A19,Sheet1!$E$69:$E$150,0),MATCH(T$1,Sheet1!$E$69:$AJ$69,0))</f>
        <v>0.97942110470573474</v>
      </c>
      <c r="U19" s="10"/>
      <c r="V19" s="10">
        <f>INDEX(Sheet1!$E$69:$AJ$150,MATCH($A19,Sheet1!$E$69:$E$150,0),MATCH(V$1,Sheet1!$E$69:$AJ$69,0))</f>
        <v>0.98811215752363002</v>
      </c>
      <c r="W19" s="10">
        <f>INDEX(Sheet1!$E$69:$AJ$150,MATCH($A19,Sheet1!$E$69:$E$150,0),MATCH(W$1,Sheet1!$E$69:$AJ$69,0))</f>
        <v>0.98468167214070546</v>
      </c>
      <c r="X19" s="10">
        <f>INDEX(Sheet1!$E$69:$AJ$150,MATCH($A19,Sheet1!$E$69:$E$150,0),MATCH(X$1,Sheet1!$E$69:$AJ$69,0))</f>
        <v>0.98131077539460687</v>
      </c>
      <c r="Y19" s="10">
        <f>INDEX(Sheet1!$E$69:$AJ$150,MATCH($A19,Sheet1!$E$69:$E$150,0),MATCH(Y$1,Sheet1!$E$69:$AJ$69,0))</f>
        <v>0.97897498609254385</v>
      </c>
    </row>
    <row r="20" spans="1:25" x14ac:dyDescent="0.25">
      <c r="A20" t="str">
        <f t="shared" si="1"/>
        <v>T2D</v>
      </c>
      <c r="B20" s="7" t="s">
        <v>114</v>
      </c>
      <c r="C20" s="11" t="s">
        <v>107</v>
      </c>
      <c r="D20" s="11"/>
      <c r="F20" s="11" t="s">
        <v>108</v>
      </c>
      <c r="G20" s="10">
        <f>INDEX(Sheet1!$E$69:$AJ$150,MATCH($A20,Sheet1!$E$69:$E$150,0),MATCH(G$1,Sheet1!$E$69:$AJ$69,0))</f>
        <v>9.8925706351166778E-2</v>
      </c>
      <c r="H20" s="10">
        <f>INDEX(Sheet1!$E$69:$AJ$150,MATCH($A20,Sheet1!$E$69:$E$150,0),MATCH(H$1,Sheet1!$E$69:$AJ$69,0))</f>
        <v>9.772806739479592E-2</v>
      </c>
      <c r="I20" s="10">
        <f>INDEX(Sheet1!$E$69:$AJ$150,MATCH($A20,Sheet1!$E$69:$E$150,0),MATCH(I$1,Sheet1!$E$69:$AJ$69,0))</f>
        <v>9.5881573074714149E-2</v>
      </c>
      <c r="J20" s="10">
        <f>INDEX(Sheet1!$E$69:$AJ$150,MATCH($A20,Sheet1!$E$69:$E$150,0),MATCH(J$1,Sheet1!$E$69:$AJ$69,0))</f>
        <v>9.2134376606983037E-2</v>
      </c>
      <c r="K20" s="10"/>
      <c r="L20" s="10">
        <f>INDEX(Sheet1!$E$69:$AJ$150,MATCH($A20,Sheet1!$E$69:$E$150,0),MATCH(L$1,Sheet1!$E$69:$AJ$69,0))</f>
        <v>0.13069999023587051</v>
      </c>
      <c r="M20" s="10">
        <f>INDEX(Sheet1!$E$69:$AJ$150,MATCH($A20,Sheet1!$E$69:$E$150,0),MATCH(M$1,Sheet1!$E$69:$AJ$69,0))</f>
        <v>0.1267655552964875</v>
      </c>
      <c r="N20" s="10">
        <f>INDEX(Sheet1!$E$69:$AJ$150,MATCH($A20,Sheet1!$E$69:$E$150,0),MATCH(N$1,Sheet1!$E$69:$AJ$69,0))</f>
        <v>0.12317338918220903</v>
      </c>
      <c r="O20" s="10">
        <f>INDEX(Sheet1!$E$69:$AJ$150,MATCH($A20,Sheet1!$E$69:$E$150,0),MATCH(O$1,Sheet1!$E$69:$AJ$69,0))</f>
        <v>0.12041057113458679</v>
      </c>
      <c r="P20" s="10"/>
      <c r="Q20" s="10">
        <f>INDEX(Sheet1!$E$69:$AJ$150,MATCH($A20,Sheet1!$E$69:$E$150,0),MATCH(Q$1,Sheet1!$E$69:$AJ$69,0))</f>
        <v>0.18238776165209333</v>
      </c>
      <c r="R20" s="10">
        <f>INDEX(Sheet1!$E$69:$AJ$150,MATCH($A20,Sheet1!$E$69:$E$150,0),MATCH(R$1,Sheet1!$E$69:$AJ$69,0))</f>
        <v>0.16890422251386658</v>
      </c>
      <c r="S20" s="10">
        <f>INDEX(Sheet1!$E$69:$AJ$150,MATCH($A20,Sheet1!$E$69:$E$150,0),MATCH(S$1,Sheet1!$E$69:$AJ$69,0))</f>
        <v>0.16212335045813325</v>
      </c>
      <c r="T20" s="10">
        <f>INDEX(Sheet1!$E$69:$AJ$150,MATCH($A20,Sheet1!$E$69:$E$150,0),MATCH(T$1,Sheet1!$E$69:$AJ$69,0))</f>
        <v>0.16484281846531043</v>
      </c>
      <c r="U20" s="10"/>
      <c r="V20" s="10">
        <f>INDEX(Sheet1!$E$69:$AJ$150,MATCH($A20,Sheet1!$E$69:$E$150,0),MATCH(V$1,Sheet1!$E$69:$AJ$69,0))</f>
        <v>0.14558357698025562</v>
      </c>
      <c r="W20" s="10">
        <f>INDEX(Sheet1!$E$69:$AJ$150,MATCH($A20,Sheet1!$E$69:$E$150,0),MATCH(W$1,Sheet1!$E$69:$AJ$69,0))</f>
        <v>0.13322129329540458</v>
      </c>
      <c r="X20" s="10">
        <f>INDEX(Sheet1!$E$69:$AJ$150,MATCH($A20,Sheet1!$E$69:$E$150,0),MATCH(X$1,Sheet1!$E$69:$AJ$69,0))</f>
        <v>0.12833851885088998</v>
      </c>
      <c r="Y20" s="10">
        <f>INDEX(Sheet1!$E$69:$AJ$150,MATCH($A20,Sheet1!$E$69:$E$150,0),MATCH(Y$1,Sheet1!$E$69:$AJ$69,0))</f>
        <v>0.13599799234894269</v>
      </c>
    </row>
    <row r="21" spans="1:25" x14ac:dyDescent="0.25">
      <c r="A21" t="str">
        <f t="shared" si="1"/>
        <v>T2G</v>
      </c>
      <c r="B21" s="7" t="s">
        <v>114</v>
      </c>
      <c r="C21" s="11" t="s">
        <v>109</v>
      </c>
      <c r="D21" s="11"/>
      <c r="F21" s="11" t="s">
        <v>110</v>
      </c>
      <c r="G21" s="10">
        <f>INDEX(Sheet1!$E$69:$AJ$150,MATCH($A21,Sheet1!$E$69:$E$150,0),MATCH(G$1,Sheet1!$E$69:$AJ$69,0))</f>
        <v>-1.689255544198796</v>
      </c>
      <c r="H21" s="10">
        <f>INDEX(Sheet1!$E$69:$AJ$150,MATCH($A21,Sheet1!$E$69:$E$150,0),MATCH(H$1,Sheet1!$E$69:$AJ$69,0))</f>
        <v>-1.4142169916833338</v>
      </c>
      <c r="I21" s="10">
        <f>INDEX(Sheet1!$E$69:$AJ$150,MATCH($A21,Sheet1!$E$69:$E$150,0),MATCH(I$1,Sheet1!$E$69:$AJ$69,0))</f>
        <v>-1.2399102725143627</v>
      </c>
      <c r="J21" s="10">
        <f>INDEX(Sheet1!$E$69:$AJ$150,MATCH($A21,Sheet1!$E$69:$E$150,0),MATCH(J$1,Sheet1!$E$69:$AJ$69,0))</f>
        <v>-0.68273893978468481</v>
      </c>
      <c r="K21" s="10"/>
      <c r="L21" s="10">
        <f>INDEX(Sheet1!$E$69:$AJ$150,MATCH($A21,Sheet1!$E$69:$E$150,0),MATCH(L$1,Sheet1!$E$69:$AJ$69,0))</f>
        <v>-1.560128071596357</v>
      </c>
      <c r="M21" s="10">
        <f>INDEX(Sheet1!$E$69:$AJ$150,MATCH($A21,Sheet1!$E$69:$E$150,0),MATCH(M$1,Sheet1!$E$69:$AJ$69,0))</f>
        <v>-1.2343095160068853</v>
      </c>
      <c r="N21" s="10">
        <f>INDEX(Sheet1!$E$69:$AJ$150,MATCH($A21,Sheet1!$E$69:$E$150,0),MATCH(N$1,Sheet1!$E$69:$AJ$69,0))</f>
        <v>-0.86600563509218942</v>
      </c>
      <c r="O21" s="10">
        <f>INDEX(Sheet1!$E$69:$AJ$150,MATCH($A21,Sheet1!$E$69:$E$150,0),MATCH(O$1,Sheet1!$E$69:$AJ$69,0))</f>
        <v>-0.42384063292804708</v>
      </c>
      <c r="P21" s="10"/>
      <c r="Q21" s="10">
        <f>INDEX(Sheet1!$E$69:$AJ$150,MATCH($A21,Sheet1!$E$69:$E$150,0),MATCH(Q$1,Sheet1!$E$69:$AJ$69,0))</f>
        <v>-1.5100776020363309</v>
      </c>
      <c r="R21" s="10">
        <f>INDEX(Sheet1!$E$69:$AJ$150,MATCH($A21,Sheet1!$E$69:$E$150,0),MATCH(R$1,Sheet1!$E$69:$AJ$69,0))</f>
        <v>-1.1959964662213571</v>
      </c>
      <c r="S21" s="10">
        <f>INDEX(Sheet1!$E$69:$AJ$150,MATCH($A21,Sheet1!$E$69:$E$150,0),MATCH(S$1,Sheet1!$E$69:$AJ$69,0))</f>
        <v>-0.6421593322508401</v>
      </c>
      <c r="T21" s="10">
        <f>INDEX(Sheet1!$E$69:$AJ$150,MATCH($A21,Sheet1!$E$69:$E$150,0),MATCH(T$1,Sheet1!$E$69:$AJ$69,0))</f>
        <v>-0.40498441159359322</v>
      </c>
      <c r="U21" s="10"/>
      <c r="V21" s="10">
        <f>INDEX(Sheet1!$E$69:$AJ$150,MATCH($A21,Sheet1!$E$69:$E$150,0),MATCH(V$1,Sheet1!$E$69:$AJ$69,0))</f>
        <v>-1.6301736869879986</v>
      </c>
      <c r="W21" s="10">
        <f>INDEX(Sheet1!$E$69:$AJ$150,MATCH($A21,Sheet1!$E$69:$E$150,0),MATCH(W$1,Sheet1!$E$69:$AJ$69,0))</f>
        <v>-1.4108751272190676</v>
      </c>
      <c r="X21" s="10">
        <f>INDEX(Sheet1!$E$69:$AJ$150,MATCH($A21,Sheet1!$E$69:$E$150,0),MATCH(X$1,Sheet1!$E$69:$AJ$69,0))</f>
        <v>-0.79470838844143454</v>
      </c>
      <c r="Y21" s="10">
        <f>INDEX(Sheet1!$E$69:$AJ$150,MATCH($A21,Sheet1!$E$69:$E$150,0),MATCH(Y$1,Sheet1!$E$69:$AJ$69,0))</f>
        <v>-0.78350340191734436</v>
      </c>
    </row>
    <row r="22" spans="1:25" x14ac:dyDescent="0.25">
      <c r="A22" t="str">
        <f t="shared" si="1"/>
        <v>T2Weight</v>
      </c>
      <c r="B22" s="7" t="s">
        <v>114</v>
      </c>
      <c r="C22" s="11" t="s">
        <v>124</v>
      </c>
      <c r="D22" s="11"/>
      <c r="F22" s="13" t="s">
        <v>124</v>
      </c>
      <c r="G22" s="10">
        <f>INDEX(Sheet1!$E$69:$AJ$150,MATCH($A22,Sheet1!$E$69:$E$150,0),MATCH(G$1,Sheet1!$E$69:$AJ$69,0))</f>
        <v>-0.16444713481424178</v>
      </c>
      <c r="H22" s="10">
        <f>INDEX(Sheet1!$E$69:$AJ$150,MATCH($A22,Sheet1!$E$69:$E$150,0),MATCH(H$1,Sheet1!$E$69:$AJ$69,0))</f>
        <v>-0.13536440000087233</v>
      </c>
      <c r="I22" s="10">
        <f>INDEX(Sheet1!$E$69:$AJ$150,MATCH($A22,Sheet1!$E$69:$E$150,0),MATCH(I$1,Sheet1!$E$69:$AJ$69,0))</f>
        <v>-0.11617960533026488</v>
      </c>
      <c r="J22" s="10">
        <f>INDEX(Sheet1!$E$69:$AJ$150,MATCH($A22,Sheet1!$E$69:$E$150,0),MATCH(J$1,Sheet1!$E$69:$AJ$69,0))</f>
        <v>-6.113265025197246E-2</v>
      </c>
      <c r="K22" s="10"/>
      <c r="L22" s="10">
        <f>INDEX(Sheet1!$E$69:$AJ$150,MATCH($A22,Sheet1!$E$69:$E$150,0),MATCH(L$1,Sheet1!$E$69:$AJ$69,0))</f>
        <v>-0.20216485109107016</v>
      </c>
      <c r="M22" s="10">
        <f>INDEX(Sheet1!$E$69:$AJ$150,MATCH($A22,Sheet1!$E$69:$E$150,0),MATCH(M$1,Sheet1!$E$69:$AJ$69,0))</f>
        <v>-0.15474266795937155</v>
      </c>
      <c r="N22" s="10">
        <f>INDEX(Sheet1!$E$69:$AJ$150,MATCH($A22,Sheet1!$E$69:$E$150,0),MATCH(N$1,Sheet1!$E$69:$AJ$69,0))</f>
        <v>-0.10532658597283708</v>
      </c>
      <c r="O22" s="10">
        <f>INDEX(Sheet1!$E$69:$AJ$150,MATCH($A22,Sheet1!$E$69:$E$150,0),MATCH(O$1,Sheet1!$E$69:$AJ$69,0))</f>
        <v>-5.0262761538167749E-2</v>
      </c>
      <c r="P22" s="10"/>
      <c r="Q22" s="10">
        <f>INDEX(Sheet1!$E$69:$AJ$150,MATCH($A22,Sheet1!$E$69:$E$150,0),MATCH(Q$1,Sheet1!$E$69:$AJ$69,0))</f>
        <v>-0.27221459199190323</v>
      </c>
      <c r="R22" s="10">
        <f>INDEX(Sheet1!$E$69:$AJ$150,MATCH($A22,Sheet1!$E$69:$E$150,0),MATCH(R$1,Sheet1!$E$69:$AJ$69,0))</f>
        <v>-0.19897830546126696</v>
      </c>
      <c r="S22" s="10">
        <f>INDEX(Sheet1!$E$69:$AJ$150,MATCH($A22,Sheet1!$E$69:$E$150,0),MATCH(S$1,Sheet1!$E$69:$AJ$69,0))</f>
        <v>-0.10226757010277136</v>
      </c>
      <c r="T22" s="10">
        <f>INDEX(Sheet1!$E$69:$AJ$150,MATCH($A22,Sheet1!$E$69:$E$150,0),MATCH(T$1,Sheet1!$E$69:$AJ$69,0))</f>
        <v>-6.5384950065901143E-2</v>
      </c>
      <c r="U22" s="10"/>
      <c r="V22" s="10">
        <f>INDEX(Sheet1!$E$69:$AJ$150,MATCH($A22,Sheet1!$E$69:$E$150,0),MATCH(V$1,Sheet1!$E$69:$AJ$69,0))</f>
        <v>-0.23450521620777165</v>
      </c>
      <c r="W22" s="10">
        <f>INDEX(Sheet1!$E$69:$AJ$150,MATCH($A22,Sheet1!$E$69:$E$150,0),MATCH(W$1,Sheet1!$E$69:$AJ$69,0))</f>
        <v>-0.18507939752786681</v>
      </c>
      <c r="X22" s="10">
        <f>INDEX(Sheet1!$E$69:$AJ$150,MATCH($A22,Sheet1!$E$69:$E$150,0),MATCH(X$1,Sheet1!$E$69:$AJ$69,0))</f>
        <v>-0.10008555174865774</v>
      </c>
      <c r="Y22" s="10">
        <f>INDEX(Sheet1!$E$69:$AJ$150,MATCH($A22,Sheet1!$E$69:$E$150,0),MATCH(Y$1,Sheet1!$E$69:$AJ$69,0))</f>
        <v>-0.10431457162233079</v>
      </c>
    </row>
    <row r="23" spans="1:25" x14ac:dyDescent="0.25">
      <c r="A23" t="str">
        <f t="shared" si="1"/>
        <v>T2p</v>
      </c>
      <c r="B23" s="7" t="s">
        <v>114</v>
      </c>
      <c r="C23" s="11" t="s">
        <v>112</v>
      </c>
      <c r="D23" s="11"/>
      <c r="E23" s="14"/>
      <c r="F23" s="15" t="s">
        <v>112</v>
      </c>
      <c r="G23" s="16">
        <f>INDEX(Sheet1!$E$69:$AJ$150,MATCH($A23,Sheet1!$E$69:$E$150,0),MATCH(G$1,Sheet1!$E$69:$AJ$69,0))</f>
        <v>3.6534223455795808E-2</v>
      </c>
      <c r="H23" s="16">
        <f>INDEX(Sheet1!$E$69:$AJ$150,MATCH($A23,Sheet1!$E$69:$E$150,0),MATCH(H$1,Sheet1!$E$69:$AJ$69,0))</f>
        <v>4.8198372135446109E-2</v>
      </c>
      <c r="I23" s="16">
        <f>INDEX(Sheet1!$E$69:$AJ$150,MATCH($A23,Sheet1!$E$69:$E$150,0),MATCH(I$1,Sheet1!$E$69:$AJ$69,0))</f>
        <v>6.6181908969308284E-2</v>
      </c>
      <c r="J23" s="16">
        <f>INDEX(Sheet1!$E$69:$AJ$150,MATCH($A23,Sheet1!$E$69:$E$150,0),MATCH(J$1,Sheet1!$E$69:$AJ$69,0))</f>
        <v>0.10267692818939275</v>
      </c>
      <c r="K23" s="10"/>
      <c r="L23" s="16">
        <f>INDEX(Sheet1!$E$69:$AJ$150,MATCH($A23,Sheet1!$E$69:$E$150,0),MATCH(L$1,Sheet1!$E$69:$AJ$69,0))</f>
        <v>6.6526538740057733E-2</v>
      </c>
      <c r="M23" s="16">
        <f>INDEX(Sheet1!$E$69:$AJ$150,MATCH($A23,Sheet1!$E$69:$E$150,0),MATCH(M$1,Sheet1!$E$69:$AJ$69,0))</f>
        <v>9.4626698459579578E-2</v>
      </c>
      <c r="N23" s="16">
        <f>INDEX(Sheet1!$E$69:$AJ$150,MATCH($A23,Sheet1!$E$69:$E$150,0),MATCH(N$1,Sheet1!$E$69:$AJ$69,0))</f>
        <v>0.12028233722485264</v>
      </c>
      <c r="O23" s="16">
        <f>INDEX(Sheet1!$E$69:$AJ$150,MATCH($A23,Sheet1!$E$69:$E$150,0),MATCH(O$1,Sheet1!$E$69:$AJ$69,0))</f>
        <v>0.14001468243077858</v>
      </c>
      <c r="P23" s="10"/>
      <c r="Q23" s="16">
        <f>INDEX(Sheet1!$E$69:$AJ$150,MATCH($A23,Sheet1!$E$69:$E$150,0),MATCH(Q$1,Sheet1!$E$69:$AJ$69,0))</f>
        <v>0.12390641050087403</v>
      </c>
      <c r="R23" s="16">
        <f>INDEX(Sheet1!$E$69:$AJ$150,MATCH($A23,Sheet1!$E$69:$E$150,0),MATCH(R$1,Sheet1!$E$69:$AJ$69,0))</f>
        <v>0.18867414543965882</v>
      </c>
      <c r="S23" s="16">
        <f>INDEX(Sheet1!$E$69:$AJ$150,MATCH($A23,Sheet1!$E$69:$E$150,0),MATCH(S$1,Sheet1!$E$69:$AJ$69,0))</f>
        <v>0.22124584041211881</v>
      </c>
      <c r="T23" s="16">
        <f>INDEX(Sheet1!$E$69:$AJ$150,MATCH($A23,Sheet1!$E$69:$E$150,0),MATCH(T$1,Sheet1!$E$69:$AJ$69,0))</f>
        <v>0.20818296565366581</v>
      </c>
      <c r="U23" s="10"/>
      <c r="V23" s="16">
        <f>INDEX(Sheet1!$E$69:$AJ$150,MATCH($A23,Sheet1!$E$69:$E$150,0),MATCH(V$1,Sheet1!$E$69:$AJ$69,0))</f>
        <v>0.10331842238168071</v>
      </c>
      <c r="W23" s="16">
        <f>INDEX(Sheet1!$E$69:$AJ$150,MATCH($A23,Sheet1!$E$69:$E$150,0),MATCH(W$1,Sheet1!$E$69:$AJ$69,0))</f>
        <v>0.17946047265566753</v>
      </c>
      <c r="X23" s="16">
        <f>INDEX(Sheet1!$E$69:$AJ$150,MATCH($A23,Sheet1!$E$69:$E$150,0),MATCH(X$1,Sheet1!$E$69:$AJ$69,0))</f>
        <v>0.20953456468498727</v>
      </c>
      <c r="Y23" s="16">
        <f>INDEX(Sheet1!$E$69:$AJ$150,MATCH($A23,Sheet1!$E$69:$E$150,0),MATCH(Y$1,Sheet1!$E$69:$AJ$69,0))</f>
        <v>0.16235816661578009</v>
      </c>
    </row>
    <row r="24" spans="1:25" x14ac:dyDescent="0.25">
      <c r="A24" t="str">
        <f t="shared" si="1"/>
        <v>T3lambda</v>
      </c>
      <c r="B24" s="7" t="s">
        <v>115</v>
      </c>
      <c r="C24" s="7" t="s">
        <v>100</v>
      </c>
      <c r="D24" s="7"/>
      <c r="E24" s="7" t="s">
        <v>115</v>
      </c>
      <c r="F24" s="7" t="s">
        <v>101</v>
      </c>
      <c r="G24" s="10">
        <f>INDEX(Sheet1!$E$69:$AJ$150,MATCH($A24,Sheet1!$E$69:$E$150,0),MATCH(G$1,Sheet1!$E$69:$AJ$69,0))</f>
        <v>1.7629254396714167</v>
      </c>
      <c r="H24" s="10">
        <f>INDEX(Sheet1!$E$69:$AJ$150,MATCH($A24,Sheet1!$E$69:$E$150,0),MATCH(H$1,Sheet1!$E$69:$AJ$69,0))</f>
        <v>1.0514703940908037</v>
      </c>
      <c r="I24" s="10">
        <f>INDEX(Sheet1!$E$69:$AJ$150,MATCH($A24,Sheet1!$E$69:$E$150,0),MATCH(I$1,Sheet1!$E$69:$AJ$69,0))</f>
        <v>0.73858078735644783</v>
      </c>
      <c r="J24" s="10">
        <f>INDEX(Sheet1!$E$69:$AJ$150,MATCH($A24,Sheet1!$E$69:$E$150,0),MATCH(J$1,Sheet1!$E$69:$AJ$69,0))</f>
        <v>0</v>
      </c>
      <c r="K24" s="10"/>
      <c r="L24" s="10">
        <f>INDEX(Sheet1!$E$69:$AJ$150,MATCH($A24,Sheet1!$E$69:$E$150,0),MATCH(L$1,Sheet1!$E$69:$AJ$69,0))</f>
        <v>1.6607059726415372</v>
      </c>
      <c r="M24" s="10">
        <f>INDEX(Sheet1!$E$69:$AJ$150,MATCH($A24,Sheet1!$E$69:$E$150,0),MATCH(M$1,Sheet1!$E$69:$AJ$69,0))</f>
        <v>1.0104305092428985</v>
      </c>
      <c r="N24" s="10">
        <f>INDEX(Sheet1!$E$69:$AJ$150,MATCH($A24,Sheet1!$E$69:$E$150,0),MATCH(N$1,Sheet1!$E$69:$AJ$69,0))</f>
        <v>0.49681084652283847</v>
      </c>
      <c r="O24" s="10">
        <f>INDEX(Sheet1!$E$69:$AJ$150,MATCH($A24,Sheet1!$E$69:$E$150,0),MATCH(O$1,Sheet1!$E$69:$AJ$69,0))</f>
        <v>0</v>
      </c>
      <c r="P24" s="10"/>
      <c r="Q24" s="10">
        <f>INDEX(Sheet1!$E$69:$AJ$150,MATCH($A24,Sheet1!$E$69:$E$150,0),MATCH(Q$1,Sheet1!$E$69:$AJ$69,0))</f>
        <v>1.5584865056116577</v>
      </c>
      <c r="R24" s="10">
        <f>INDEX(Sheet1!$E$69:$AJ$150,MATCH($A24,Sheet1!$E$69:$E$150,0),MATCH(R$1,Sheet1!$E$69:$AJ$69,0))</f>
        <v>0.96939062439499346</v>
      </c>
      <c r="S24" s="10">
        <f>INDEX(Sheet1!$E$69:$AJ$150,MATCH($A24,Sheet1!$E$69:$E$150,0),MATCH(S$1,Sheet1!$E$69:$AJ$69,0))</f>
        <v>0.25504090568922932</v>
      </c>
      <c r="T24" s="10">
        <f>INDEX(Sheet1!$E$69:$AJ$150,MATCH($A24,Sheet1!$E$69:$E$150,0),MATCH(T$1,Sheet1!$E$69:$AJ$69,0))</f>
        <v>0</v>
      </c>
      <c r="U24" s="10"/>
      <c r="V24" s="10">
        <f>INDEX(Sheet1!$E$69:$AJ$150,MATCH($A24,Sheet1!$E$69:$E$150,0),MATCH(V$1,Sheet1!$E$69:$AJ$69,0))</f>
        <v>1.4562670385817782</v>
      </c>
      <c r="W24" s="10">
        <f>INDEX(Sheet1!$E$69:$AJ$150,MATCH($A24,Sheet1!$E$69:$E$150,0),MATCH(W$1,Sheet1!$E$69:$AJ$69,0))</f>
        <v>0.92835073954708835</v>
      </c>
      <c r="X24" s="10">
        <f>INDEX(Sheet1!$E$69:$AJ$150,MATCH($A24,Sheet1!$E$69:$E$150,0),MATCH(X$1,Sheet1!$E$69:$AJ$69,0))</f>
        <v>1.3270964855620182E-2</v>
      </c>
      <c r="Y24" s="10">
        <f>INDEX(Sheet1!$E$69:$AJ$150,MATCH($A24,Sheet1!$E$69:$E$150,0),MATCH(Y$1,Sheet1!$E$69:$AJ$69,0))</f>
        <v>0</v>
      </c>
    </row>
    <row r="25" spans="1:25" x14ac:dyDescent="0.25">
      <c r="A25" t="str">
        <f t="shared" si="1"/>
        <v>T3e^lambda-1</v>
      </c>
      <c r="B25" s="7" t="s">
        <v>115</v>
      </c>
      <c r="C25" s="11" t="s">
        <v>102</v>
      </c>
      <c r="D25" s="11"/>
      <c r="F25" s="11" t="s">
        <v>103</v>
      </c>
      <c r="G25" s="10">
        <f>INDEX(Sheet1!$E$69:$AJ$150,MATCH($A25,Sheet1!$E$69:$E$150,0),MATCH(G$1,Sheet1!$E$69:$AJ$69,0))</f>
        <v>4.8294662256083107</v>
      </c>
      <c r="H25" s="10">
        <f>INDEX(Sheet1!$E$69:$AJ$150,MATCH($A25,Sheet1!$E$69:$E$150,0),MATCH(H$1,Sheet1!$E$69:$AJ$69,0))</f>
        <v>1.8618560821002634</v>
      </c>
      <c r="I25" s="10">
        <f>INDEX(Sheet1!$E$69:$AJ$150,MATCH($A25,Sheet1!$E$69:$E$150,0),MATCH(I$1,Sheet1!$E$69:$AJ$69,0))</f>
        <v>1.0929630460934128</v>
      </c>
      <c r="J25" s="10">
        <f>INDEX(Sheet1!$E$69:$AJ$150,MATCH($A25,Sheet1!$E$69:$E$150,0),MATCH(J$1,Sheet1!$E$69:$AJ$69,0))</f>
        <v>0</v>
      </c>
      <c r="K25" s="10"/>
      <c r="L25" s="10">
        <f>INDEX(Sheet1!$E$69:$AJ$150,MATCH($A25,Sheet1!$E$69:$E$150,0),MATCH(L$1,Sheet1!$E$69:$AJ$69,0))</f>
        <v>4.2630250849382394</v>
      </c>
      <c r="M25" s="10">
        <f>INDEX(Sheet1!$E$69:$AJ$150,MATCH($A25,Sheet1!$E$69:$E$150,0),MATCH(M$1,Sheet1!$E$69:$AJ$69,0))</f>
        <v>1.7467832761000945</v>
      </c>
      <c r="N25" s="10">
        <f>INDEX(Sheet1!$E$69:$AJ$150,MATCH($A25,Sheet1!$E$69:$E$150,0),MATCH(N$1,Sheet1!$E$69:$AJ$69,0))</f>
        <v>0.64347162094557264</v>
      </c>
      <c r="O25" s="10">
        <f>INDEX(Sheet1!$E$69:$AJ$150,MATCH($A25,Sheet1!$E$69:$E$150,0),MATCH(O$1,Sheet1!$E$69:$AJ$69,0))</f>
        <v>0</v>
      </c>
      <c r="P25" s="10"/>
      <c r="Q25" s="10">
        <f>INDEX(Sheet1!$E$69:$AJ$150,MATCH($A25,Sheet1!$E$69:$E$150,0),MATCH(Q$1,Sheet1!$E$69:$AJ$69,0))</f>
        <v>3.7516242435727811</v>
      </c>
      <c r="R25" s="10">
        <f>INDEX(Sheet1!$E$69:$AJ$150,MATCH($A25,Sheet1!$E$69:$E$150,0),MATCH(R$1,Sheet1!$E$69:$AJ$69,0))</f>
        <v>1.6363374500391257</v>
      </c>
      <c r="S25" s="10">
        <f>INDEX(Sheet1!$E$69:$AJ$150,MATCH($A25,Sheet1!$E$69:$E$150,0),MATCH(S$1,Sheet1!$E$69:$AJ$69,0))</f>
        <v>0.29051440917457927</v>
      </c>
      <c r="T25" s="10">
        <f>INDEX(Sheet1!$E$69:$AJ$150,MATCH($A25,Sheet1!$E$69:$E$150,0),MATCH(T$1,Sheet1!$E$69:$AJ$69,0))</f>
        <v>0</v>
      </c>
      <c r="U25" s="10"/>
      <c r="V25" s="10">
        <f>INDEX(Sheet1!$E$69:$AJ$150,MATCH($A25,Sheet1!$E$69:$E$150,0),MATCH(V$1,Sheet1!$E$69:$AJ$69,0))</f>
        <v>3.2899155120355186</v>
      </c>
      <c r="W25" s="10">
        <f>INDEX(Sheet1!$E$69:$AJ$150,MATCH($A25,Sheet1!$E$69:$E$150,0),MATCH(W$1,Sheet1!$E$69:$AJ$69,0))</f>
        <v>1.5303325569780135</v>
      </c>
      <c r="X25" s="10">
        <f>INDEX(Sheet1!$E$69:$AJ$150,MATCH($A25,Sheet1!$E$69:$E$150,0),MATCH(X$1,Sheet1!$E$69:$AJ$69,0))</f>
        <v>1.335941494931836E-2</v>
      </c>
      <c r="Y25" s="10">
        <f>INDEX(Sheet1!$E$69:$AJ$150,MATCH($A25,Sheet1!$E$69:$E$150,0),MATCH(Y$1,Sheet1!$E$69:$AJ$69,0))</f>
        <v>0</v>
      </c>
    </row>
    <row r="26" spans="1:25" x14ac:dyDescent="0.25">
      <c r="A26" t="str">
        <f t="shared" si="1"/>
        <v>T3R</v>
      </c>
      <c r="B26" s="7" t="s">
        <v>115</v>
      </c>
      <c r="C26" s="11" t="s">
        <v>105</v>
      </c>
      <c r="D26" s="11"/>
      <c r="F26" s="11" t="s">
        <v>106</v>
      </c>
      <c r="G26" s="10">
        <f>INDEX(Sheet1!$E$69:$AJ$150,MATCH($A26,Sheet1!$E$69:$E$150,0),MATCH(G$1,Sheet1!$E$69:$AJ$69,0))</f>
        <v>0.98406049676955099</v>
      </c>
      <c r="H26" s="10">
        <f>INDEX(Sheet1!$E$69:$AJ$150,MATCH($A26,Sheet1!$E$69:$E$150,0),MATCH(H$1,Sheet1!$E$69:$AJ$69,0))</f>
        <v>0.97942029982538559</v>
      </c>
      <c r="I26" s="10">
        <f>INDEX(Sheet1!$E$69:$AJ$150,MATCH($A26,Sheet1!$E$69:$E$150,0),MATCH(I$1,Sheet1!$E$69:$AJ$69,0))</f>
        <v>0.97724731994979397</v>
      </c>
      <c r="J26" s="10">
        <f>INDEX(Sheet1!$E$69:$AJ$150,MATCH($A26,Sheet1!$E$69:$E$150,0),MATCH(J$1,Sheet1!$E$69:$AJ$69,0))</f>
        <v>0.9718446514051976</v>
      </c>
      <c r="K26" s="10"/>
      <c r="L26" s="10">
        <f>INDEX(Sheet1!$E$69:$AJ$150,MATCH($A26,Sheet1!$E$69:$E$150,0),MATCH(L$1,Sheet1!$E$69:$AJ$69,0))</f>
        <v>0.99144777819492114</v>
      </c>
      <c r="M26" s="10">
        <f>INDEX(Sheet1!$E$69:$AJ$150,MATCH($A26,Sheet1!$E$69:$E$150,0),MATCH(M$1,Sheet1!$E$69:$AJ$69,0))</f>
        <v>0.98897369427907389</v>
      </c>
      <c r="N26" s="10">
        <f>INDEX(Sheet1!$E$69:$AJ$150,MATCH($A26,Sheet1!$E$69:$E$150,0),MATCH(N$1,Sheet1!$E$69:$AJ$69,0))</f>
        <v>0.9874165404111197</v>
      </c>
      <c r="O26" s="10">
        <f>INDEX(Sheet1!$E$69:$AJ$150,MATCH($A26,Sheet1!$E$69:$E$150,0),MATCH(O$1,Sheet1!$E$69:$AJ$69,0))</f>
        <v>0.98487052480798176</v>
      </c>
      <c r="P26" s="10"/>
      <c r="Q26" s="10">
        <f>INDEX(Sheet1!$E$69:$AJ$150,MATCH($A26,Sheet1!$E$69:$E$150,0),MATCH(Q$1,Sheet1!$E$69:$AJ$69,0))</f>
        <v>0.98836291641497287</v>
      </c>
      <c r="R26" s="10">
        <f>INDEX(Sheet1!$E$69:$AJ$150,MATCH($A26,Sheet1!$E$69:$E$150,0),MATCH(R$1,Sheet1!$E$69:$AJ$69,0))</f>
        <v>0.98499794565272847</v>
      </c>
      <c r="S26" s="10">
        <f>INDEX(Sheet1!$E$69:$AJ$150,MATCH($A26,Sheet1!$E$69:$E$150,0),MATCH(S$1,Sheet1!$E$69:$AJ$69,0))</f>
        <v>0.98231226913902236</v>
      </c>
      <c r="T26" s="10">
        <f>INDEX(Sheet1!$E$69:$AJ$150,MATCH($A26,Sheet1!$E$69:$E$150,0),MATCH(T$1,Sheet1!$E$69:$AJ$69,0))</f>
        <v>0.97942110470573474</v>
      </c>
      <c r="U26" s="10"/>
      <c r="V26" s="10">
        <f>INDEX(Sheet1!$E$69:$AJ$150,MATCH($A26,Sheet1!$E$69:$E$150,0),MATCH(V$1,Sheet1!$E$69:$AJ$69,0))</f>
        <v>0.98811215752363002</v>
      </c>
      <c r="W26" s="10">
        <f>INDEX(Sheet1!$E$69:$AJ$150,MATCH($A26,Sheet1!$E$69:$E$150,0),MATCH(W$1,Sheet1!$E$69:$AJ$69,0))</f>
        <v>0.98468167214070546</v>
      </c>
      <c r="X26" s="10">
        <f>INDEX(Sheet1!$E$69:$AJ$150,MATCH($A26,Sheet1!$E$69:$E$150,0),MATCH(X$1,Sheet1!$E$69:$AJ$69,0))</f>
        <v>0.98131077539460687</v>
      </c>
      <c r="Y26" s="10">
        <f>INDEX(Sheet1!$E$69:$AJ$150,MATCH($A26,Sheet1!$E$69:$E$150,0),MATCH(Y$1,Sheet1!$E$69:$AJ$69,0))</f>
        <v>0.97897498609254385</v>
      </c>
    </row>
    <row r="27" spans="1:25" x14ac:dyDescent="0.25">
      <c r="A27" t="str">
        <f t="shared" si="1"/>
        <v>T3D</v>
      </c>
      <c r="B27" s="7" t="s">
        <v>115</v>
      </c>
      <c r="C27" s="11" t="s">
        <v>107</v>
      </c>
      <c r="D27" s="11"/>
      <c r="F27" s="11" t="s">
        <v>108</v>
      </c>
      <c r="G27" s="10">
        <f>INDEX(Sheet1!$E$69:$AJ$150,MATCH($A27,Sheet1!$E$69:$E$150,0),MATCH(G$1,Sheet1!$E$69:$AJ$69,0))</f>
        <v>6.70320955714864E-2</v>
      </c>
      <c r="H27" s="10">
        <f>INDEX(Sheet1!$E$69:$AJ$150,MATCH($A27,Sheet1!$E$69:$E$150,0),MATCH(H$1,Sheet1!$E$69:$AJ$69,0))</f>
        <v>0.11289297865714562</v>
      </c>
      <c r="I27" s="10">
        <f>INDEX(Sheet1!$E$69:$AJ$150,MATCH($A27,Sheet1!$E$69:$E$150,0),MATCH(I$1,Sheet1!$E$69:$AJ$69,0))</f>
        <v>0.14662059562133009</v>
      </c>
      <c r="J27" s="10">
        <f>INDEX(Sheet1!$E$69:$AJ$150,MATCH($A27,Sheet1!$E$69:$E$150,0),MATCH(J$1,Sheet1!$E$69:$AJ$69,0))</f>
        <v>0.23963250705639241</v>
      </c>
      <c r="K27" s="10"/>
      <c r="L27" s="10">
        <f>INDEX(Sheet1!$E$69:$AJ$150,MATCH($A27,Sheet1!$E$69:$E$150,0),MATCH(L$1,Sheet1!$E$69:$AJ$69,0))</f>
        <v>8.8161885866473097E-2</v>
      </c>
      <c r="M27" s="10">
        <f>INDEX(Sheet1!$E$69:$AJ$150,MATCH($A27,Sheet1!$E$69:$E$150,0),MATCH(M$1,Sheet1!$E$69:$AJ$69,0))</f>
        <v>0.13962576797722245</v>
      </c>
      <c r="N27" s="10">
        <f>INDEX(Sheet1!$E$69:$AJ$150,MATCH($A27,Sheet1!$E$69:$E$150,0),MATCH(N$1,Sheet1!$E$69:$AJ$69,0))</f>
        <v>0.19264702301683956</v>
      </c>
      <c r="O27" s="10">
        <f>INDEX(Sheet1!$E$69:$AJ$150,MATCH($A27,Sheet1!$E$69:$E$150,0),MATCH(O$1,Sheet1!$E$69:$AJ$69,0))</f>
        <v>0.24955407910594105</v>
      </c>
      <c r="P27" s="10"/>
      <c r="Q27" s="10">
        <f>INDEX(Sheet1!$E$69:$AJ$150,MATCH($A27,Sheet1!$E$69:$E$150,0),MATCH(Q$1,Sheet1!$E$69:$AJ$69,0))</f>
        <v>0.11007415972026674</v>
      </c>
      <c r="R27" s="10">
        <f>INDEX(Sheet1!$E$69:$AJ$150,MATCH($A27,Sheet1!$E$69:$E$150,0),MATCH(R$1,Sheet1!$E$69:$AJ$69,0))</f>
        <v>0.16746069869712349</v>
      </c>
      <c r="S27" s="10">
        <f>INDEX(Sheet1!$E$69:$AJ$150,MATCH($A27,Sheet1!$E$69:$E$150,0),MATCH(S$1,Sheet1!$E$69:$AJ$69,0))</f>
        <v>0.23118382988569466</v>
      </c>
      <c r="T27" s="10">
        <f>INDEX(Sheet1!$E$69:$AJ$150,MATCH($A27,Sheet1!$E$69:$E$150,0),MATCH(T$1,Sheet1!$E$69:$AJ$69,0))</f>
        <v>0.2494276855786968</v>
      </c>
      <c r="U27" s="10"/>
      <c r="V27" s="10">
        <f>INDEX(Sheet1!$E$69:$AJ$150,MATCH($A27,Sheet1!$E$69:$E$150,0),MATCH(V$1,Sheet1!$E$69:$AJ$69,0))</f>
        <v>0.10854813172861338</v>
      </c>
      <c r="W27" s="10">
        <f>INDEX(Sheet1!$E$69:$AJ$150,MATCH($A27,Sheet1!$E$69:$E$150,0),MATCH(W$1,Sheet1!$E$69:$AJ$69,0))</f>
        <v>0.17504942548621263</v>
      </c>
      <c r="X27" s="10">
        <f>INDEX(Sheet1!$E$69:$AJ$150,MATCH($A27,Sheet1!$E$69:$E$150,0),MATCH(X$1,Sheet1!$E$69:$AJ$69,0))</f>
        <v>0.26097356968258623</v>
      </c>
      <c r="Y27" s="10">
        <f>INDEX(Sheet1!$E$69:$AJ$150,MATCH($A27,Sheet1!$E$69:$E$150,0),MATCH(Y$1,Sheet1!$E$69:$AJ$69,0))</f>
        <v>0.24312846486504588</v>
      </c>
    </row>
    <row r="28" spans="1:25" x14ac:dyDescent="0.25">
      <c r="A28" t="str">
        <f t="shared" si="1"/>
        <v>T3G</v>
      </c>
      <c r="B28" s="7" t="s">
        <v>115</v>
      </c>
      <c r="C28" s="11" t="s">
        <v>109</v>
      </c>
      <c r="D28" s="11"/>
      <c r="F28" s="11" t="s">
        <v>110</v>
      </c>
      <c r="G28" s="10">
        <f>INDEX(Sheet1!$E$69:$AJ$150,MATCH($A28,Sheet1!$E$69:$E$150,0),MATCH(G$1,Sheet1!$E$69:$AJ$69,0))</f>
        <v>3.3439841448139833</v>
      </c>
      <c r="H28" s="10">
        <f>INDEX(Sheet1!$E$69:$AJ$150,MATCH($A28,Sheet1!$E$69:$E$150,0),MATCH(H$1,Sheet1!$E$69:$AJ$69,0))</f>
        <v>3.4861188464469146</v>
      </c>
      <c r="I28" s="10">
        <f>INDEX(Sheet1!$E$69:$AJ$150,MATCH($A28,Sheet1!$E$69:$E$150,0),MATCH(I$1,Sheet1!$E$69:$AJ$69,0))</f>
        <v>3.4566976765771029</v>
      </c>
      <c r="J28" s="10">
        <f>INDEX(Sheet1!$E$69:$AJ$150,MATCH($A28,Sheet1!$E$69:$E$150,0),MATCH(J$1,Sheet1!$E$69:$AJ$69,0))</f>
        <v>3.4842676336934248</v>
      </c>
      <c r="K28" s="10"/>
      <c r="L28" s="10">
        <f>INDEX(Sheet1!$E$69:$AJ$150,MATCH($A28,Sheet1!$E$69:$E$150,0),MATCH(L$1,Sheet1!$E$69:$AJ$69,0))</f>
        <v>3.2135354355338643</v>
      </c>
      <c r="M28" s="10">
        <f>INDEX(Sheet1!$E$69:$AJ$150,MATCH($A28,Sheet1!$E$69:$E$150,0),MATCH(M$1,Sheet1!$E$69:$AJ$69,0))</f>
        <v>3.2936609522555611</v>
      </c>
      <c r="N28" s="10">
        <f>INDEX(Sheet1!$E$69:$AJ$150,MATCH($A28,Sheet1!$E$69:$E$150,0),MATCH(N$1,Sheet1!$E$69:$AJ$69,0))</f>
        <v>3.3492642617158541</v>
      </c>
      <c r="O28" s="10">
        <f>INDEX(Sheet1!$E$69:$AJ$150,MATCH($A28,Sheet1!$E$69:$E$150,0),MATCH(O$1,Sheet1!$E$69:$AJ$69,0))</f>
        <v>3.4152449120533404</v>
      </c>
      <c r="P28" s="10"/>
      <c r="Q28" s="10">
        <f>INDEX(Sheet1!$E$69:$AJ$150,MATCH($A28,Sheet1!$E$69:$E$150,0),MATCH(Q$1,Sheet1!$E$69:$AJ$69,0))</f>
        <v>2.9281956690239612</v>
      </c>
      <c r="R28" s="10">
        <f>INDEX(Sheet1!$E$69:$AJ$150,MATCH($A28,Sheet1!$E$69:$E$150,0),MATCH(R$1,Sheet1!$E$69:$AJ$69,0))</f>
        <v>2.9272300411670038</v>
      </c>
      <c r="S28" s="10">
        <f>INDEX(Sheet1!$E$69:$AJ$150,MATCH($A28,Sheet1!$E$69:$E$150,0),MATCH(S$1,Sheet1!$E$69:$AJ$69,0))</f>
        <v>3.0887767951155372</v>
      </c>
      <c r="T28" s="10">
        <f>INDEX(Sheet1!$E$69:$AJ$150,MATCH($A28,Sheet1!$E$69:$E$150,0),MATCH(T$1,Sheet1!$E$69:$AJ$69,0))</f>
        <v>3.2052918908090855</v>
      </c>
      <c r="U28" s="10"/>
      <c r="V28" s="10">
        <f>INDEX(Sheet1!$E$69:$AJ$150,MATCH($A28,Sheet1!$E$69:$E$150,0),MATCH(V$1,Sheet1!$E$69:$AJ$69,0))</f>
        <v>2.8903767894128047</v>
      </c>
      <c r="W28" s="10">
        <f>INDEX(Sheet1!$E$69:$AJ$150,MATCH($A28,Sheet1!$E$69:$E$150,0),MATCH(W$1,Sheet1!$E$69:$AJ$69,0))</f>
        <v>2.8048339805285405</v>
      </c>
      <c r="X28" s="10">
        <f>INDEX(Sheet1!$E$69:$AJ$150,MATCH($A28,Sheet1!$E$69:$E$150,0),MATCH(X$1,Sheet1!$E$69:$AJ$69,0))</f>
        <v>3.0639926316512938</v>
      </c>
      <c r="Y28" s="10">
        <f>INDEX(Sheet1!$E$69:$AJ$150,MATCH($A28,Sheet1!$E$69:$E$150,0),MATCH(Y$1,Sheet1!$E$69:$AJ$69,0))</f>
        <v>3.2215002990963351</v>
      </c>
    </row>
    <row r="29" spans="1:25" x14ac:dyDescent="0.25">
      <c r="A29" t="str">
        <f t="shared" si="1"/>
        <v>T3Weight</v>
      </c>
      <c r="B29" s="7" t="s">
        <v>115</v>
      </c>
      <c r="C29" s="11" t="s">
        <v>124</v>
      </c>
      <c r="D29" s="11"/>
      <c r="F29" s="13" t="s">
        <v>124</v>
      </c>
      <c r="G29" s="10">
        <f>INDEX(Sheet1!$E$69:$AJ$150,MATCH($A29,Sheet1!$E$69:$E$150,0),MATCH(G$1,Sheet1!$E$69:$AJ$69,0))</f>
        <v>0.22058135715705138</v>
      </c>
      <c r="H29" s="10">
        <f>INDEX(Sheet1!$E$69:$AJ$150,MATCH($A29,Sheet1!$E$69:$E$150,0),MATCH(H$1,Sheet1!$E$69:$AJ$69,0))</f>
        <v>0.38545902787891539</v>
      </c>
      <c r="I29" s="10">
        <f>INDEX(Sheet1!$E$69:$AJ$150,MATCH($A29,Sheet1!$E$69:$E$150,0),MATCH(I$1,Sheet1!$E$69:$AJ$69,0))</f>
        <v>0.49529148901825937</v>
      </c>
      <c r="J29" s="10">
        <f>INDEX(Sheet1!$E$69:$AJ$150,MATCH($A29,Sheet1!$E$69:$E$150,0),MATCH(J$1,Sheet1!$E$69:$AJ$69,0))</f>
        <v>0.81143565490025804</v>
      </c>
      <c r="K29" s="10"/>
      <c r="L29" s="10">
        <f>INDEX(Sheet1!$E$69:$AJ$150,MATCH($A29,Sheet1!$E$69:$E$150,0),MATCH(L$1,Sheet1!$E$69:$AJ$69,0))</f>
        <v>0.28088840283909411</v>
      </c>
      <c r="M29" s="10">
        <f>INDEX(Sheet1!$E$69:$AJ$150,MATCH($A29,Sheet1!$E$69:$E$150,0),MATCH(M$1,Sheet1!$E$69:$AJ$69,0))</f>
        <v>0.45480916310284564</v>
      </c>
      <c r="N29" s="10">
        <f>INDEX(Sheet1!$E$69:$AJ$150,MATCH($A29,Sheet1!$E$69:$E$150,0),MATCH(N$1,Sheet1!$E$69:$AJ$69,0))</f>
        <v>0.63710661667068791</v>
      </c>
      <c r="O29" s="10">
        <f>INDEX(Sheet1!$E$69:$AJ$150,MATCH($A29,Sheet1!$E$69:$E$150,0),MATCH(O$1,Sheet1!$E$69:$AJ$69,0))</f>
        <v>0.83939362427332986</v>
      </c>
      <c r="P29" s="10"/>
      <c r="Q29" s="10">
        <f>INDEX(Sheet1!$E$69:$AJ$150,MATCH($A29,Sheet1!$E$69:$E$150,0),MATCH(Q$1,Sheet1!$E$69:$AJ$69,0))</f>
        <v>0.31856782837017783</v>
      </c>
      <c r="R29" s="10">
        <f>INDEX(Sheet1!$E$69:$AJ$150,MATCH($A29,Sheet1!$E$69:$E$150,0),MATCH(R$1,Sheet1!$E$69:$AJ$69,0))</f>
        <v>0.48284204108913015</v>
      </c>
      <c r="S29" s="10">
        <f>INDEX(Sheet1!$E$69:$AJ$150,MATCH($A29,Sheet1!$E$69:$E$150,0),MATCH(S$1,Sheet1!$E$69:$AJ$69,0))</f>
        <v>0.70144487833529923</v>
      </c>
      <c r="T29" s="10">
        <f>INDEX(Sheet1!$E$69:$AJ$150,MATCH($A29,Sheet1!$E$69:$E$150,0),MATCH(T$1,Sheet1!$E$69:$AJ$69,0))</f>
        <v>0.78303594701767565</v>
      </c>
      <c r="U29" s="10"/>
      <c r="V29" s="10">
        <f>INDEX(Sheet1!$E$69:$AJ$150,MATCH($A29,Sheet1!$E$69:$E$150,0),MATCH(V$1,Sheet1!$E$69:$AJ$69,0))</f>
        <v>0.31001524933902308</v>
      </c>
      <c r="W29" s="10">
        <f>INDEX(Sheet1!$E$69:$AJ$150,MATCH($A29,Sheet1!$E$69:$E$150,0),MATCH(W$1,Sheet1!$E$69:$AJ$69,0))</f>
        <v>0.48346351415328853</v>
      </c>
      <c r="X29" s="10">
        <f>INDEX(Sheet1!$E$69:$AJ$150,MATCH($A29,Sheet1!$E$69:$E$150,0),MATCH(X$1,Sheet1!$E$69:$AJ$69,0))</f>
        <v>0.78467679632767817</v>
      </c>
      <c r="Y29" s="10">
        <f>INDEX(Sheet1!$E$69:$AJ$150,MATCH($A29,Sheet1!$E$69:$E$150,0),MATCH(Y$1,Sheet1!$E$69:$AJ$69,0))</f>
        <v>0.76677082356025394</v>
      </c>
    </row>
    <row r="30" spans="1:25" x14ac:dyDescent="0.25">
      <c r="A30" t="str">
        <f t="shared" si="1"/>
        <v>T3p</v>
      </c>
      <c r="B30" s="7" t="s">
        <v>115</v>
      </c>
      <c r="C30" s="11" t="s">
        <v>112</v>
      </c>
      <c r="D30" s="11"/>
      <c r="E30" s="8"/>
      <c r="F30" s="9" t="s">
        <v>112</v>
      </c>
      <c r="G30" s="17">
        <f>INDEX(Sheet1!$E$69:$AJ$150,MATCH($A30,Sheet1!$E$69:$E$150,0),MATCH(G$1,Sheet1!$E$69:$AJ$69,0))</f>
        <v>0.88861786444037594</v>
      </c>
      <c r="H30" s="17">
        <f>INDEX(Sheet1!$E$69:$AJ$150,MATCH($A30,Sheet1!$E$69:$E$150,0),MATCH(H$1,Sheet1!$E$69:$AJ$69,0))</f>
        <v>0.81241432264175428</v>
      </c>
      <c r="I30" s="17">
        <f>INDEX(Sheet1!$E$69:$AJ$150,MATCH($A30,Sheet1!$E$69:$E$150,0),MATCH(I$1,Sheet1!$E$69:$AJ$69,0))</f>
        <v>0.75637170644752261</v>
      </c>
      <c r="J30" s="17">
        <f>INDEX(Sheet1!$E$69:$AJ$150,MATCH($A30,Sheet1!$E$69:$E$150,0),MATCH(J$1,Sheet1!$E$69:$AJ$69,0))</f>
        <v>0.60182088657838129</v>
      </c>
      <c r="K30" s="10"/>
      <c r="L30" s="17">
        <f>INDEX(Sheet1!$E$69:$AJ$150,MATCH($A30,Sheet1!$E$69:$E$150,0),MATCH(L$1,Sheet1!$E$69:$AJ$69,0))</f>
        <v>0.83082126838043369</v>
      </c>
      <c r="M30" s="17">
        <f>INDEX(Sheet1!$E$69:$AJ$150,MATCH($A30,Sheet1!$E$69:$E$150,0),MATCH(M$1,Sheet1!$E$69:$AJ$69,0))</f>
        <v>0.73206437117768819</v>
      </c>
      <c r="N30" s="17">
        <f>INDEX(Sheet1!$E$69:$AJ$150,MATCH($A30,Sheet1!$E$69:$E$150,0),MATCH(N$1,Sheet1!$E$69:$AJ$69,0))</f>
        <v>0.63031894470092575</v>
      </c>
      <c r="O30" s="17">
        <f>INDEX(Sheet1!$E$69:$AJ$150,MATCH($A30,Sheet1!$E$69:$E$150,0),MATCH(O$1,Sheet1!$E$69:$AJ$69,0))</f>
        <v>0.52111683911145223</v>
      </c>
      <c r="P30" s="10"/>
      <c r="Q30" s="17">
        <f>INDEX(Sheet1!$E$69:$AJ$150,MATCH($A30,Sheet1!$E$69:$E$150,0),MATCH(Q$1,Sheet1!$E$69:$AJ$69,0))</f>
        <v>0.76878912144712341</v>
      </c>
      <c r="R30" s="17">
        <f>INDEX(Sheet1!$E$69:$AJ$150,MATCH($A30,Sheet1!$E$69:$E$150,0),MATCH(R$1,Sheet1!$E$69:$AJ$69,0))</f>
        <v>0.64824864103221835</v>
      </c>
      <c r="S30" s="17">
        <f>INDEX(Sheet1!$E$69:$AJ$150,MATCH($A30,Sheet1!$E$69:$E$150,0),MATCH(S$1,Sheet1!$E$69:$AJ$69,0))</f>
        <v>0.51439814257107008</v>
      </c>
      <c r="T30" s="17">
        <f>INDEX(Sheet1!$E$69:$AJ$150,MATCH($A30,Sheet1!$E$69:$E$150,0),MATCH(T$1,Sheet1!$E$69:$AJ$69,0))</f>
        <v>0.47607690610930065</v>
      </c>
      <c r="U30" s="10"/>
      <c r="V30" s="17">
        <f>INDEX(Sheet1!$E$69:$AJ$150,MATCH($A30,Sheet1!$E$69:$E$150,0),MATCH(V$1,Sheet1!$E$69:$AJ$69,0))</f>
        <v>0.81377746716922728</v>
      </c>
      <c r="W30" s="17">
        <f>INDEX(Sheet1!$E$69:$AJ$150,MATCH($A30,Sheet1!$E$69:$E$150,0),MATCH(W$1,Sheet1!$E$69:$AJ$69,0))</f>
        <v>0.69968946617971839</v>
      </c>
      <c r="X30" s="17">
        <f>INDEX(Sheet1!$E$69:$AJ$150,MATCH($A30,Sheet1!$E$69:$E$150,0),MATCH(X$1,Sheet1!$E$69:$AJ$69,0))</f>
        <v>0.55228009571196901</v>
      </c>
      <c r="Y30" s="17">
        <f>INDEX(Sheet1!$E$69:$AJ$150,MATCH($A30,Sheet1!$E$69:$E$150,0),MATCH(Y$1,Sheet1!$E$69:$AJ$69,0))</f>
        <v>0.58289472320331437</v>
      </c>
    </row>
    <row r="31" spans="1:25" x14ac:dyDescent="0.25">
      <c r="A31" t="str">
        <f t="shared" si="1"/>
        <v>Expected</v>
      </c>
      <c r="C31" s="11" t="s">
        <v>116</v>
      </c>
      <c r="E31" s="7" t="s">
        <v>117</v>
      </c>
      <c r="F31" s="13" t="s">
        <v>118</v>
      </c>
      <c r="G31" s="34">
        <f>INDEX(Sheet1!$E$69:$AJ$150,MATCH($A31,Sheet1!$E$69:$E$150,0),MATCH(G$1,Sheet1!$E$69:$AJ$69,0))</f>
        <v>15.602861213574196</v>
      </c>
      <c r="H31" s="34">
        <f>INDEX(Sheet1!$E$69:$AJ$150,MATCH($A31,Sheet1!$E$69:$E$150,0),MATCH(H$1,Sheet1!$E$69:$AJ$69,0))</f>
        <v>15.263529619732489</v>
      </c>
      <c r="I31" s="34">
        <f>INDEX(Sheet1!$E$69:$AJ$150,MATCH($A31,Sheet1!$E$69:$E$150,0),MATCH(I$1,Sheet1!$E$69:$AJ$69,0))</f>
        <v>15.051011864210189</v>
      </c>
      <c r="J31" s="34">
        <f>INDEX(Sheet1!$E$69:$AJ$150,MATCH($A31,Sheet1!$E$69:$E$150,0),MATCH(J$1,Sheet1!$E$69:$AJ$69,0))</f>
        <v>14.454611640083282</v>
      </c>
      <c r="K31" s="34"/>
      <c r="L31" s="34">
        <f>INDEX(Sheet1!$E$69:$AJ$150,MATCH($A31,Sheet1!$E$69:$E$150,0),MATCH(L$1,Sheet1!$E$69:$AJ$69,0))</f>
        <v>15.443587087056791</v>
      </c>
      <c r="M31" s="34">
        <f>INDEX(Sheet1!$E$69:$AJ$150,MATCH($A31,Sheet1!$E$69:$E$150,0),MATCH(M$1,Sheet1!$E$69:$AJ$69,0))</f>
        <v>15.075158520286546</v>
      </c>
      <c r="N31" s="34">
        <f>INDEX(Sheet1!$E$69:$AJ$150,MATCH($A31,Sheet1!$E$69:$E$150,0),MATCH(N$1,Sheet1!$E$69:$AJ$69,0))</f>
        <v>14.704006302449093</v>
      </c>
      <c r="O31" s="34">
        <f>INDEX(Sheet1!$E$69:$AJ$150,MATCH($A31,Sheet1!$E$69:$E$150,0),MATCH(O$1,Sheet1!$E$69:$AJ$69,0))</f>
        <v>14.283334701244684</v>
      </c>
      <c r="P31" s="34"/>
      <c r="Q31" s="34">
        <f>INDEX(Sheet1!$E$69:$AJ$150,MATCH($A31,Sheet1!$E$69:$E$150,0),MATCH(Q$1,Sheet1!$E$69:$AJ$69,0))</f>
        <v>15.305927185446173</v>
      </c>
      <c r="R31" s="34">
        <f>INDEX(Sheet1!$E$69:$AJ$150,MATCH($A31,Sheet1!$E$69:$E$150,0),MATCH(R$1,Sheet1!$E$69:$AJ$69,0))</f>
        <v>14.914071099526915</v>
      </c>
      <c r="S31" s="34">
        <f>INDEX(Sheet1!$E$69:$AJ$150,MATCH($A31,Sheet1!$E$69:$E$150,0),MATCH(S$1,Sheet1!$E$69:$AJ$69,0))</f>
        <v>14.4187018891291</v>
      </c>
      <c r="T31" s="34">
        <f>INDEX(Sheet1!$E$69:$AJ$150,MATCH($A31,Sheet1!$E$69:$E$150,0),MATCH(T$1,Sheet1!$E$69:$AJ$69,0))</f>
        <v>14.211179971745903</v>
      </c>
      <c r="U31" s="34"/>
      <c r="V31" s="34">
        <f>INDEX(Sheet1!$E$69:$AJ$150,MATCH($A31,Sheet1!$E$69:$E$150,0),MATCH(V$1,Sheet1!$E$69:$AJ$69,0))</f>
        <v>15.443972573853651</v>
      </c>
      <c r="W31" s="34">
        <f>INDEX(Sheet1!$E$69:$AJ$150,MATCH($A31,Sheet1!$E$69:$E$150,0),MATCH(W$1,Sheet1!$E$69:$AJ$69,0))</f>
        <v>15.098493406920195</v>
      </c>
      <c r="X31" s="34">
        <f>INDEX(Sheet1!$E$69:$AJ$150,MATCH($A31,Sheet1!$E$69:$E$150,0),MATCH(X$1,Sheet1!$E$69:$AJ$69,0))</f>
        <v>14.536149279154914</v>
      </c>
      <c r="Y31" s="34">
        <f>INDEX(Sheet1!$E$69:$AJ$150,MATCH($A31,Sheet1!$E$69:$E$150,0),MATCH(Y$1,Sheet1!$E$69:$AJ$69,0))</f>
        <v>14.537371540252547</v>
      </c>
    </row>
    <row r="32" spans="1:25" x14ac:dyDescent="0.25">
      <c r="A32" t="str">
        <f t="shared" si="1"/>
        <v>D(L)</v>
      </c>
      <c r="C32" s="11" t="s">
        <v>119</v>
      </c>
      <c r="E32" s="9" t="s">
        <v>119</v>
      </c>
      <c r="F32" s="18" t="s">
        <v>120</v>
      </c>
      <c r="G32" s="17">
        <f>INDEX(Sheet1!$E$69:$AJ$150,MATCH($A32,Sheet1!$E$69:$E$150,0),MATCH(G$1,Sheet1!$E$69:$AJ$69,0))</f>
        <v>1.1482495734909082</v>
      </c>
      <c r="H32" s="17">
        <f>INDEX(Sheet1!$E$69:$AJ$150,MATCH($A32,Sheet1!$E$69:$E$150,0),MATCH(H$1,Sheet1!$E$69:$AJ$69,0))</f>
        <v>0.80891797964920764</v>
      </c>
      <c r="I32" s="17">
        <f>INDEX(Sheet1!$E$69:$AJ$150,MATCH($A32,Sheet1!$E$69:$E$150,0),MATCH(I$1,Sheet1!$E$69:$AJ$69,0))</f>
        <v>0.59640022412690663</v>
      </c>
      <c r="J32" s="17">
        <f>INDEX(Sheet1!$E$69:$AJ$150,MATCH($A32,Sheet1!$E$69:$E$150,0),MATCH(J$1,Sheet1!$E$69:$AJ$69,0))</f>
        <v>0</v>
      </c>
      <c r="K32" s="17"/>
      <c r="L32" s="17">
        <f>INDEX(Sheet1!$E$69:$AJ$150,MATCH($A32,Sheet1!$E$69:$E$150,0),MATCH(L$1,Sheet1!$E$69:$AJ$69,0))</f>
        <v>1.1602523858121094</v>
      </c>
      <c r="M32" s="17">
        <f>INDEX(Sheet1!$E$69:$AJ$150,MATCH($A32,Sheet1!$E$69:$E$150,0),MATCH(M$1,Sheet1!$E$69:$AJ$69,0))</f>
        <v>0.79182381904186372</v>
      </c>
      <c r="N32" s="17">
        <f>INDEX(Sheet1!$E$69:$AJ$150,MATCH($A32,Sheet1!$E$69:$E$150,0),MATCH(N$1,Sheet1!$E$69:$AJ$69,0))</f>
        <v>0.42067160120441</v>
      </c>
      <c r="O32" s="17">
        <f>INDEX(Sheet1!$E$69:$AJ$150,MATCH($A32,Sheet1!$E$69:$E$150,0),MATCH(O$1,Sheet1!$E$69:$AJ$69,0))</f>
        <v>0</v>
      </c>
      <c r="P32" s="17"/>
      <c r="Q32" s="17">
        <f>INDEX(Sheet1!$E$69:$AJ$150,MATCH($A32,Sheet1!$E$69:$E$150,0),MATCH(Q$1,Sheet1!$E$69:$AJ$69,0))</f>
        <v>1.0947472137002754</v>
      </c>
      <c r="R32" s="17">
        <f>INDEX(Sheet1!$E$69:$AJ$150,MATCH($A32,Sheet1!$E$69:$E$150,0),MATCH(R$1,Sheet1!$E$69:$AJ$69,0))</f>
        <v>0.70289112778101559</v>
      </c>
      <c r="S32" s="17">
        <f>INDEX(Sheet1!$E$69:$AJ$150,MATCH($A32,Sheet1!$E$69:$E$150,0),MATCH(S$1,Sheet1!$E$69:$AJ$69,0))</f>
        <v>0.20752191738319872</v>
      </c>
      <c r="T32" s="17">
        <f>INDEX(Sheet1!$E$69:$AJ$150,MATCH($A32,Sheet1!$E$69:$E$150,0),MATCH(T$1,Sheet1!$E$69:$AJ$69,0))</f>
        <v>0</v>
      </c>
      <c r="U32" s="17"/>
      <c r="V32" s="17">
        <f>INDEX(Sheet1!$E$69:$AJ$150,MATCH($A32,Sheet1!$E$69:$E$150,0),MATCH(V$1,Sheet1!$E$69:$AJ$69,0))</f>
        <v>0.90660103360110067</v>
      </c>
      <c r="W32" s="17">
        <f>INDEX(Sheet1!$E$69:$AJ$150,MATCH($A32,Sheet1!$E$69:$E$150,0),MATCH(W$1,Sheet1!$E$69:$AJ$69,0))</f>
        <v>0.56112186666764541</v>
      </c>
      <c r="X32" s="17">
        <f>INDEX(Sheet1!$E$69:$AJ$150,MATCH($A32,Sheet1!$E$69:$E$150,0),MATCH(X$1,Sheet1!$E$69:$AJ$69,0))</f>
        <v>-1.2222610976330654E-3</v>
      </c>
      <c r="Y32" s="17">
        <f>INDEX(Sheet1!$E$69:$AJ$150,MATCH($A32,Sheet1!$E$69:$E$150,0),MATCH(Y$1,Sheet1!$E$69:$AJ$69,0))</f>
        <v>0</v>
      </c>
    </row>
    <row r="40" spans="7:16" x14ac:dyDescent="0.25">
      <c r="G40" s="7" t="s">
        <v>124</v>
      </c>
      <c r="H40" s="7" t="s">
        <v>132</v>
      </c>
      <c r="I40" s="7" t="s">
        <v>133</v>
      </c>
      <c r="J40" s="7" t="s">
        <v>134</v>
      </c>
      <c r="K40" s="7" t="s">
        <v>130</v>
      </c>
      <c r="L40" s="7" t="s">
        <v>125</v>
      </c>
      <c r="M40" s="7" t="s">
        <v>126</v>
      </c>
      <c r="N40" s="7" t="s">
        <v>127</v>
      </c>
      <c r="O40" s="7" t="s">
        <v>128</v>
      </c>
      <c r="P40" s="7" t="s">
        <v>129</v>
      </c>
    </row>
    <row r="41" spans="7:16" x14ac:dyDescent="0.25">
      <c r="G41" s="10">
        <f>G15</f>
        <v>2.2147480744119975E-2</v>
      </c>
      <c r="H41" s="10">
        <f>G11</f>
        <v>6.7512921648542283</v>
      </c>
    </row>
    <row r="42" spans="7:16" x14ac:dyDescent="0.25">
      <c r="G42" s="10">
        <f>L15</f>
        <v>1.1496283108424571E-2</v>
      </c>
      <c r="H42" s="10">
        <f>L11</f>
        <v>6.7629359391273534</v>
      </c>
    </row>
    <row r="43" spans="7:16" x14ac:dyDescent="0.25">
      <c r="G43" s="10">
        <f>Q15</f>
        <v>1.5368480065429324E-2</v>
      </c>
      <c r="H43" s="10">
        <f>Q11</f>
        <v>6.7745972043524949</v>
      </c>
    </row>
    <row r="44" spans="7:16" x14ac:dyDescent="0.25">
      <c r="G44" s="10">
        <f>V15</f>
        <v>1.6315962808684466E-2</v>
      </c>
      <c r="H44" s="10">
        <f>V11</f>
        <v>6.7862759868040721</v>
      </c>
    </row>
    <row r="45" spans="7:16" x14ac:dyDescent="0.25">
      <c r="G45" s="10">
        <f>G22</f>
        <v>-0.16444713481424178</v>
      </c>
      <c r="I45" s="10">
        <f>G18</f>
        <v>0.4047790445977888</v>
      </c>
    </row>
    <row r="46" spans="7:16" x14ac:dyDescent="0.25">
      <c r="G46" s="10">
        <f>L22</f>
        <v>-0.20216485109107016</v>
      </c>
      <c r="I46" s="10">
        <f>L18</f>
        <v>0.56849915867798506</v>
      </c>
    </row>
    <row r="47" spans="7:16" x14ac:dyDescent="0.25">
      <c r="G47" s="10">
        <f>Q22</f>
        <v>-0.27221459199190323</v>
      </c>
      <c r="I47" s="10">
        <f>Q18</f>
        <v>0.75130004980814591</v>
      </c>
    </row>
    <row r="48" spans="7:16" x14ac:dyDescent="0.25">
      <c r="G48" s="10">
        <f>V22</f>
        <v>-0.23450521620777165</v>
      </c>
      <c r="I48" s="10">
        <f>V18</f>
        <v>0.95540548905559453</v>
      </c>
    </row>
    <row r="49" spans="7:22" x14ac:dyDescent="0.25">
      <c r="G49" s="10">
        <f>G29</f>
        <v>0.22058135715705138</v>
      </c>
      <c r="J49" s="10">
        <f>G25</f>
        <v>4.8294662256083107</v>
      </c>
    </row>
    <row r="50" spans="7:22" x14ac:dyDescent="0.25">
      <c r="G50" s="10">
        <f>L29</f>
        <v>0.28088840283909411</v>
      </c>
      <c r="J50" s="10">
        <f>L25</f>
        <v>4.2630250849382394</v>
      </c>
    </row>
    <row r="51" spans="7:22" x14ac:dyDescent="0.25">
      <c r="G51" s="10">
        <f>Q29</f>
        <v>0.31856782837017783</v>
      </c>
      <c r="J51" s="10">
        <f>Q25</f>
        <v>3.7516242435727811</v>
      </c>
    </row>
    <row r="52" spans="7:22" x14ac:dyDescent="0.25">
      <c r="G52" s="10">
        <f>V29</f>
        <v>0.31001524933902308</v>
      </c>
      <c r="J52" s="10">
        <f>V25</f>
        <v>3.2899155120355186</v>
      </c>
    </row>
    <row r="53" spans="7:22" x14ac:dyDescent="0.25">
      <c r="G53" s="10">
        <f>H15</f>
        <v>7.556648174924234E-2</v>
      </c>
      <c r="K53" s="10">
        <f>H11</f>
        <v>1.1988760069162412</v>
      </c>
      <c r="L53" s="10"/>
      <c r="Q53" s="10"/>
      <c r="V53" s="10"/>
    </row>
    <row r="54" spans="7:22" x14ac:dyDescent="0.25">
      <c r="G54" s="10">
        <f>M15</f>
        <v>3.9144419166645461E-2</v>
      </c>
      <c r="K54" s="10">
        <f>M11</f>
        <v>1.2035591296591592</v>
      </c>
    </row>
    <row r="55" spans="7:22" x14ac:dyDescent="0.25">
      <c r="G55" s="10">
        <f>R15</f>
        <v>5.2115114109081158E-2</v>
      </c>
      <c r="K55" s="10">
        <f>R11</f>
        <v>1.2082522264245119</v>
      </c>
    </row>
    <row r="56" spans="7:22" x14ac:dyDescent="0.25">
      <c r="G56" s="10">
        <f>W15</f>
        <v>5.5582130503288141E-2</v>
      </c>
      <c r="K56" s="10">
        <f>W11</f>
        <v>1.2129553184547763</v>
      </c>
    </row>
    <row r="57" spans="7:22" x14ac:dyDescent="0.25">
      <c r="G57" s="10">
        <f>H22</f>
        <v>-0.13536440000087233</v>
      </c>
      <c r="L57" s="10">
        <f>H18</f>
        <v>-4.8306814505816309E-3</v>
      </c>
    </row>
    <row r="58" spans="7:22" x14ac:dyDescent="0.25">
      <c r="G58" s="10">
        <f>M22</f>
        <v>-0.15474266795937155</v>
      </c>
      <c r="L58" s="10">
        <f>M18</f>
        <v>0.32144879368079882</v>
      </c>
    </row>
    <row r="59" spans="7:22" x14ac:dyDescent="0.25">
      <c r="G59" s="10">
        <f>R22</f>
        <v>-0.19897830546126696</v>
      </c>
      <c r="L59" s="10">
        <f>R18</f>
        <v>0.75470332713409882</v>
      </c>
    </row>
    <row r="60" spans="7:22" x14ac:dyDescent="0.25">
      <c r="G60" s="10">
        <f>W22</f>
        <v>-0.18507939752786681</v>
      </c>
      <c r="L60" s="10">
        <f>W18</f>
        <v>1.3300061122150582</v>
      </c>
    </row>
    <row r="61" spans="7:22" x14ac:dyDescent="0.25">
      <c r="G61" s="10">
        <f>H29</f>
        <v>0.38545902787891539</v>
      </c>
      <c r="M61" s="10">
        <f>H26</f>
        <v>0.97942029982538559</v>
      </c>
    </row>
    <row r="62" spans="7:22" x14ac:dyDescent="0.25">
      <c r="G62" s="10">
        <f>M29</f>
        <v>0.45480916310284564</v>
      </c>
      <c r="M62" s="10">
        <f>M25</f>
        <v>1.7467832761000945</v>
      </c>
    </row>
    <row r="63" spans="7:22" x14ac:dyDescent="0.25">
      <c r="G63" s="10">
        <f>R29</f>
        <v>0.48284204108913015</v>
      </c>
      <c r="M63" s="10">
        <f>R25</f>
        <v>1.6363374500391257</v>
      </c>
    </row>
    <row r="64" spans="7:22" x14ac:dyDescent="0.25">
      <c r="G64" s="10">
        <f>W29</f>
        <v>0.48346351415328853</v>
      </c>
      <c r="M64" s="10">
        <f>W25</f>
        <v>1.5303325569780135</v>
      </c>
    </row>
    <row r="65" spans="7:16" x14ac:dyDescent="0.25">
      <c r="G65" s="10">
        <f>I15</f>
        <v>9.9234135575903937E-2</v>
      </c>
      <c r="N65" s="10">
        <f>I11</f>
        <v>0.64082833143949913</v>
      </c>
    </row>
    <row r="66" spans="7:16" x14ac:dyDescent="0.25">
      <c r="G66" s="10">
        <f>N15</f>
        <v>5.4995163288070609E-2</v>
      </c>
      <c r="N66" s="10">
        <f>N11</f>
        <v>0.51509671684801428</v>
      </c>
    </row>
    <row r="67" spans="7:16" x14ac:dyDescent="0.25">
      <c r="G67" s="10">
        <f>S15</f>
        <v>7.8407586746015168E-2</v>
      </c>
      <c r="N67" s="10">
        <f>S11</f>
        <v>0.39899952811624928</v>
      </c>
    </row>
    <row r="68" spans="7:16" x14ac:dyDescent="0.25">
      <c r="G68" s="10">
        <f>X15</f>
        <v>9.0330066558381689E-2</v>
      </c>
      <c r="N68" s="10">
        <f>X11</f>
        <v>0.29179850890391901</v>
      </c>
    </row>
    <row r="69" spans="7:16" x14ac:dyDescent="0.25">
      <c r="G69" s="10">
        <f>I22</f>
        <v>-0.11617960533026488</v>
      </c>
      <c r="O69" s="10">
        <f>I18</f>
        <v>7.3395979555445301E-2</v>
      </c>
    </row>
    <row r="70" spans="7:16" x14ac:dyDescent="0.25">
      <c r="G70" s="10">
        <f>N22</f>
        <v>-0.10532658597283708</v>
      </c>
      <c r="O70" s="10">
        <f>N18</f>
        <v>0.16725363334738508</v>
      </c>
    </row>
    <row r="71" spans="7:16" x14ac:dyDescent="0.25">
      <c r="G71" s="10">
        <f>S22</f>
        <v>-0.10226757010277136</v>
      </c>
      <c r="O71" s="10">
        <f>S18</f>
        <v>0.26931819245955557</v>
      </c>
    </row>
    <row r="72" spans="7:16" x14ac:dyDescent="0.25">
      <c r="G72" s="10">
        <f>X22</f>
        <v>-0.10008555174865774</v>
      </c>
      <c r="O72" s="10">
        <f>X18</f>
        <v>0.3803072679999917</v>
      </c>
    </row>
    <row r="73" spans="7:16" x14ac:dyDescent="0.25">
      <c r="G73" s="10">
        <f>I29</f>
        <v>0.49529148901825937</v>
      </c>
      <c r="P73" s="10">
        <f>I25</f>
        <v>1.0929630460934128</v>
      </c>
    </row>
    <row r="74" spans="7:16" x14ac:dyDescent="0.25">
      <c r="G74" s="10">
        <f>N29</f>
        <v>0.63710661667068791</v>
      </c>
      <c r="P74" s="10">
        <f>N25</f>
        <v>0.64347162094557264</v>
      </c>
    </row>
    <row r="75" spans="7:16" x14ac:dyDescent="0.25">
      <c r="G75" s="10">
        <f>S29</f>
        <v>0.70144487833529923</v>
      </c>
      <c r="P75" s="10">
        <f>S25</f>
        <v>0.29051440917457927</v>
      </c>
    </row>
    <row r="76" spans="7:16" x14ac:dyDescent="0.25">
      <c r="G76" s="10">
        <f>X29</f>
        <v>0.78467679632767817</v>
      </c>
      <c r="P76" s="10">
        <f>X25</f>
        <v>1.335941494931836E-2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table</vt:lpstr>
      <vt:lpstr>decomp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真一 濱本</cp:lastModifiedBy>
  <dcterms:modified xsi:type="dcterms:W3CDTF">2026-04-26T06:07:23Z</dcterms:modified>
</cp:coreProperties>
</file>